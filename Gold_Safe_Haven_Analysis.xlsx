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Annual Statistics" sheetId="2" r:id="rId2"/>
    <sheet name="Correlation Analysis" sheetId="3" r:id="rId3"/>
    <sheet name="Volatility Comparison" sheetId="4" r:id="rId4"/>
    <sheet name="Regime Analysis" sheetId="5" r:id="rId5"/>
    <sheet name="Crisis Periods" sheetId="6" r:id="rId6"/>
    <sheet name="Conditional Analysis" sheetId="7" r:id="rId7"/>
    <sheet name="Rolling 5-Year Analysis" sheetId="8" r:id="rId8"/>
    <sheet name="Chart Data" sheetId="9" r:id="rId9"/>
  </sheets>
  <calcPr calcId="124519" fullCalcOnLoad="1"/>
</workbook>
</file>

<file path=xl/sharedStrings.xml><?xml version="1.0" encoding="utf-8"?>
<sst xmlns="http://schemas.openxmlformats.org/spreadsheetml/2006/main" count="338" uniqueCount="213">
  <si>
    <t>An Empirical Analysis of Gold vs. S&amp;P 500 (1971-2025)</t>
  </si>
  <si>
    <t>BACKGROUND</t>
  </si>
  <si>
    <t>Since the collapse of the Bretton Woods system in August 1971, gold has traded freely as a market-priced commodity. The conventional wisdom holds that gold is the quintessential "safe haven" - an asset that preserves value and offers portfolio protection when equity markets tumble. This narrative is deeply embedded in investment culture: when uncertainty rises, investors flock to gold.
But "safe haven" and "safe asset" are not synonymous. A safe haven need only be uncorrelated or negatively correlated with risk assets during stress. A safe asset must also exhibit low volatility - it must be stable in its own right. Our analysis examines whether gold satisfies both conditions.</t>
  </si>
  <si>
    <t>THE THESIS</t>
  </si>
  <si>
    <t>Gold may be perceived as a safe haven, but it is far from a safe asset. Its volatility surges dramatically during periods of market stress - precisely when investors flock to it most. The very act of seeking shelter in gold contributes to the instability that undermines its protective role. In the post-2005 era, gold has increasingly behaved like a risk asset, with its annualised volatility frequently exceeding that of the S&amp;P 500.</t>
  </si>
  <si>
    <t>KEY FINDINGS</t>
  </si>
  <si>
    <t>1. HEDGING DYNAMICS ARE ERODING: The average annual correlation between gold and S&amp;P 500 returns was -0.08 in the stable era (1971-2005) vs. 0.03 in the volatile era (2006-2025). Negative correlations - the hallmark of a hedge - occurred in 71% of years pre-2005 but only 43% post-2005.</t>
  </si>
  <si>
    <t>2. GOLD VOLATILITY SURGES DURING STRESS: Gold's average annualised volatility rose from 17.8% (1971-2005) to 18.0% (2006-2025). During the worst S&amp;P 500 years, gold volatility averaged 20.3% - hardly the behaviour of a "safe" asset.</t>
  </si>
  <si>
    <t>3. GOLD IS NOT A LOW-VOLATILITY ASSET: In 32 out of 56 years, gold's annualised volatility exceeded that of the S&amp;P 500. In the post-2005 volatile era, this occurred in 12 out of 21 years.</t>
  </si>
  <si>
    <t>4. CONDITIONAL PERFORMANCE IS MIXED: In years when the S&amp;P 500 posted negative returns, gold delivered a positive return 7/14 times (50%). While this supports the hedge narrative, the accompanying gold volatility of 19.0% annualised means that "protection" comes with substantial price uncertainty.</t>
  </si>
  <si>
    <t>5. THE COVID-19 LITMUS TEST: In 2020, when investors needed a safe haven most, gold posted a correlation of 0.14 with the S&amp;P 500 and exhibited annualised volatility of 18.9%. This echoes findings from Faraj et al. (2025) showing gold failed as a safe haven during COVID-19.</t>
  </si>
  <si>
    <t>IMPLICATIONS FOR INVESTORS</t>
  </si>
  <si>
    <t>The distinction between "safe haven" and "safe asset" is critical for portfolio construction. While gold has historically delivered positive returns in some equity market downturns, it does so with a level of volatility that can rival or exceed equities themselves. Investors who allocate to gold expecting stability may be surprised by the magnitude of gold price swings during the very crises they are seeking protection from.
As Faraj, McMillan &amp; Al-Sabah (2025) conclude in the reference article: "investors should be aware of gold's positive correlation with the stock market during periods of market stress and increased volatility. As such, adding gold to a portfolio may raise volatility without providing expected protection."</t>
  </si>
  <si>
    <t>METHODOLOGY</t>
  </si>
  <si>
    <t>Data: Daily gold prices (USD/Troy Oz) and S&amp;P 500 price index from August 1971 to February 2025, sourced via Datastream.
Returns: Pre-computed daily natural log returns [ln(Pt/Pt-1)].
Annual Correlation: Pearson correlation of daily log returns within each calendar year.
Annual Volatility: Standard deviation of daily log returns, annualised by multiplying by sqrt(252).
Annual Return: Sum of daily log returns within each calendar year (property of log returns).
Regime Split: Pre-2005 ("stable era") vs. Post-2005 ("volatile era"), following the structural break identified by Faraj et al. (2025) around April 2006.</t>
  </si>
  <si>
    <t>Reference: Faraj, H., McMillan, D. &amp; Al-Sabah, M. (2025). "The diminishing lustre: Gold's market volatility and the fading safe haven effect." Global Finance Journal, 67, 101145.</t>
  </si>
  <si>
    <t>Annual Statistics: Gold vs. S&amp;P 500 (1971-2025)</t>
  </si>
  <si>
    <t>Year</t>
  </si>
  <si>
    <t>Obs</t>
  </si>
  <si>
    <t>Gold
Annual Return</t>
  </si>
  <si>
    <t>S&amp;P 500
Annual Return</t>
  </si>
  <si>
    <t>Gold
Daily Vol</t>
  </si>
  <si>
    <t>S&amp;P 500
Daily Vol</t>
  </si>
  <si>
    <t>Gold
Annualised Vol</t>
  </si>
  <si>
    <t>S&amp;P 500
Annualised Vol</t>
  </si>
  <si>
    <t>Correlation
(Gold-SP500)</t>
  </si>
  <si>
    <t>Vol Ratio
(Gold/SP)</t>
  </si>
  <si>
    <t>Gold Max
Drawdown</t>
  </si>
  <si>
    <t>SP500 Max
Drawdown</t>
  </si>
  <si>
    <t>Gold
Start Price</t>
  </si>
  <si>
    <t>Gold
End Price</t>
  </si>
  <si>
    <t>SP500
Start Price</t>
  </si>
  <si>
    <t>SP500
End Price</t>
  </si>
  <si>
    <t>Annual Correlation: Gold vs. S&amp;P 500 Daily Returns</t>
  </si>
  <si>
    <t>DISCUSSION</t>
  </si>
  <si>
    <t>The annual correlation between daily gold and S&amp;P 500 log returns reveals the time-varying nature of gold's hedging properties. A negative correlation indicates gold moves inversely to equities - the classic "safe haven" behaviour. A positive correlation means gold co-moves with equities, undermining its hedging role.
KEY OBSERVATION: The correlation fluctuates substantially from year to year, ranging from strongly negative to strongly positive. There is no persistent negative correlation that would justify treating gold as a reliable hedge. In the volatile era (post-2005), the correlation has trended upward, with gold increasingly co-moving with equities. This is consistent with Faraj et al. (2025) who find that gold displays a positive correlation with the S&amp;P 500 in most high-volatility periods after 2005.</t>
  </si>
  <si>
    <t>Correlation</t>
  </si>
  <si>
    <t>Interpretation</t>
  </si>
  <si>
    <t>Near-zero: no meaningful linear relationship (weak safe haven at best)</t>
  </si>
  <si>
    <t>Moderate hedge: mild inverse relationship</t>
  </si>
  <si>
    <t>Moderate co-movement: gold offers diversification only, not a hedge</t>
  </si>
  <si>
    <t>Strong hedge: gold moves significantly inversely to equities</t>
  </si>
  <si>
    <t>Strong co-movement: gold moves with equities - NO hedge/safe haven</t>
  </si>
  <si>
    <t>Annualised Volatility: Gold vs. S&amp;P 500</t>
  </si>
  <si>
    <t>A truly "safe" asset should exhibit low and stable volatility. This tab compares the annualised volatility (standard deviation of daily log returns x sqrt(252)) of gold and the S&amp;P 500 each year.
KEY OBSERVATION: Gold's volatility is NOT consistently lower than equities. In many years, gold is MORE volatile than the S&amp;P 500. The volatility ratio (Gold/SP500) frequently exceeds 1.0, meaning gold is the riskier asset on a standalone basis.
STATISTICS: Over the full sample, gold's annualised volatility exceeded that of the S&amp;P 500 in 32 out of 56 years (57%). The average annualised volatility was 17.9% for gold vs. 15.5% for the S&amp;P 500.
CRITICAL INSIGHT: During periods of equity market stress (when investors allegedly "flee to gold"), gold volatility spikes as well. This means investors exchanging equities for gold are not reducing their exposure to price uncertainty - they may simply be swapping one volatile asset for another.</t>
  </si>
  <si>
    <t>Assessment</t>
  </si>
  <si>
    <t>Gold less volatile - consistent with safe asset characteristics</t>
  </si>
  <si>
    <t>Gold MUCH more volatile than SP500 - undermines "safe asset" narrative</t>
  </si>
  <si>
    <t>Gold more volatile than SP500 - not a low-risk alternative</t>
  </si>
  <si>
    <t>Similar volatility levels - gold offers no volatility reduction</t>
  </si>
  <si>
    <t>Regime Analysis: Stable Era (1971-2005) vs. Volatile Era (2006-2025)</t>
  </si>
  <si>
    <t>Following the structural break identified around 2005/2006 (see Faraj et al. 2025), we split the sample into two regimes. The "Stable Era" (1971-2005) covers the post-Bretton Woods transition, OPEC shocks, and a long period of relative gold price stability (1985-2005, when gold traded around $300-$450). The "Volatile Era" (2006-2025) covers the financialisation of gold, the GFC, European debt crisis, COVID-19, and the recent gold surge past $2,700.
KEY FINDING: The data reveals a stark contrast between eras. In the stable era, gold exhibited lower volatility, more frequent negative correlations with equities, and classic safe haven behaviour. In the volatile era, gold's volatility surged, correlations turned less consistently negative, and gold increasingly co-moved with equities during crises.</t>
  </si>
  <si>
    <t>Metric</t>
  </si>
  <si>
    <t>Full Sample
(1971-2025)</t>
  </si>
  <si>
    <t>Stable Era
(1971-2005)</t>
  </si>
  <si>
    <t>Volatile Era
(2006-2025)</t>
  </si>
  <si>
    <t>Number of Years</t>
  </si>
  <si>
    <t>Avg Gold Annual Return</t>
  </si>
  <si>
    <t>Avg S&amp;P 500 Annual Return</t>
  </si>
  <si>
    <t>Median Gold Annual Return</t>
  </si>
  <si>
    <t>Median S&amp;P 500 Annual Return</t>
  </si>
  <si>
    <t>Avg Gold Annualised Volatility</t>
  </si>
  <si>
    <t>Avg S&amp;P 500 Annualised Volatility</t>
  </si>
  <si>
    <t>Median Gold Annualised Volatility</t>
  </si>
  <si>
    <t>Median S&amp;P 500 Annualised Volatility</t>
  </si>
  <si>
    <t>Average Annual Correlation</t>
  </si>
  <si>
    <t>Median Annual Correlation</t>
  </si>
  <si>
    <t>% Years with Negative Correlation</t>
  </si>
  <si>
    <t>Average Volatility Ratio (Gold/SP)</t>
  </si>
  <si>
    <t>Maximum Gold Annualised Volatility</t>
  </si>
  <si>
    <t>Maximum S&amp;P 500 Annualised Volatility</t>
  </si>
  <si>
    <t>Approx. Sharpe Ratio (Gold)</t>
  </si>
  <si>
    <t>Approx. Sharpe Ratio (S&amp;P 500)</t>
  </si>
  <si>
    <t>Gold Behaviour During Market Crises (1971-2025)</t>
  </si>
  <si>
    <t>This tab examines gold's behaviour during specific crisis periods. For a true safe haven, we would expect: (1) negative correlation with equities, (2) positive gold returns, and (3) moderate gold volatility. The evidence is mixed. While gold sometimes delivered positive returns during equity downturns, it also exhibited elevated volatility and, in several recent crises, positive correlations with equities.
NOTE: The 2007-2009 GFC is particularly instructive. Gold fell sharply alongside equities in late 2008, with a positive correlation of 6.4% with stocks during the ICSS-identified volatility period (per Faraj et al. 2025). The COVID-19 crash of March 2020 showed similar behaviour, with gold falling ~15% from its February peak.</t>
  </si>
  <si>
    <t>Period</t>
  </si>
  <si>
    <t>Years</t>
  </si>
  <si>
    <t>Description</t>
  </si>
  <si>
    <t>Avg
Correlation</t>
  </si>
  <si>
    <t>Gold
Cum. Return</t>
  </si>
  <si>
    <t>SP500
Cum. Return</t>
  </si>
  <si>
    <t>Gold
Avg Ann. Vol</t>
  </si>
  <si>
    <t>SP500
Avg Ann. Vol</t>
  </si>
  <si>
    <t>Avg Vol
Ratio</t>
  </si>
  <si>
    <t>Oil Embargo / Post-Bretton Woods</t>
  </si>
  <si>
    <t>1973-1974</t>
  </si>
  <si>
    <t>OPEC oil embargo, end of gold standard transition, stagflation</t>
  </si>
  <si>
    <t>Second Oil Shock / Volcker Tightening</t>
  </si>
  <si>
    <t>1979-1980</t>
  </si>
  <si>
    <t>Iranian revolution, gold spikes to $850, Volcker rate hikes</t>
  </si>
  <si>
    <t>Black Monday</t>
  </si>
  <si>
    <t>1987-1987</t>
  </si>
  <si>
    <t>Stock market crash of October 1987, S&amp;P 500 fell ~20% in one day</t>
  </si>
  <si>
    <t>Early 1990s Recession</t>
  </si>
  <si>
    <t>1990-1991</t>
  </si>
  <si>
    <t>Gulf War, S&amp;L crisis, US recession</t>
  </si>
  <si>
    <t>Dot-com Crash</t>
  </si>
  <si>
    <t>2000-2002</t>
  </si>
  <si>
    <t>Tech bubble burst, 9/11 attacks, corporate scandals</t>
  </si>
  <si>
    <t>Global Financial Crisis</t>
  </si>
  <si>
    <t>2007-2009</t>
  </si>
  <si>
    <t>Subprime mortgage crisis, Lehman Brothers collapse, global recession</t>
  </si>
  <si>
    <t>European Debt Crisis</t>
  </si>
  <si>
    <t>2010-2012</t>
  </si>
  <si>
    <t>Greek debt crisis, eurozone contagion, gold peaks at $1,895</t>
  </si>
  <si>
    <t>Gold Bear Market</t>
  </si>
  <si>
    <t>2013-2015</t>
  </si>
  <si>
    <t>Gold drops ~40% from 2011 peak, taper tantrum, strong USD</t>
  </si>
  <si>
    <t>COVID-19 Pandemic</t>
  </si>
  <si>
    <t>2020-2020</t>
  </si>
  <si>
    <t>Global pandemic, markets crashed March 2020, gold fell alongside stocks</t>
  </si>
  <si>
    <t>Post-COVID Inflation / Rate Hikes</t>
  </si>
  <si>
    <t>2022-2023</t>
  </si>
  <si>
    <t>High inflation, aggressive Fed tightening, bank failures</t>
  </si>
  <si>
    <t>Gold Surge</t>
  </si>
  <si>
    <t>2024-2025</t>
  </si>
  <si>
    <t>Gold surges past $2,700 amid geopolitical tensions, central bank buying</t>
  </si>
  <si>
    <t>Conditional Analysis: Gold Behaviour by S&amp;P 500 Regime</t>
  </si>
  <si>
    <t>If gold is a reliable safe haven, it should deliver its best performance (positive returns, low volatility, negative correlation) precisely when equities perform worst. This tab tests that proposition by conditioning on equity market outcomes.
SECTION A groups years by whether the S&amp;P 500 was up or down, and whether equity volatility was above or below median.
SECTION B sorts all years into quintiles by S&amp;P 500 annual return, from worst to best.
KEY FINDING: Gold does tend to post positive returns during equity down years, but its volatility also rises sharply. The "protection" gold offers comes bundled with substantial price uncertainty.</t>
  </si>
  <si>
    <t>SECTION A: Conditional Statistics</t>
  </si>
  <si>
    <t>Condition</t>
  </si>
  <si>
    <t>N Years</t>
  </si>
  <si>
    <t>Avg Gold
Return</t>
  </si>
  <si>
    <t>Avg SP500
Return</t>
  </si>
  <si>
    <t>Avg Gold
Ann. Vol</t>
  </si>
  <si>
    <t>Avg SP500
Ann. Vol</t>
  </si>
  <si>
    <t>% Gold
Positive</t>
  </si>
  <si>
    <t>SP500 Down Years</t>
  </si>
  <si>
    <t>SP500 Up Years</t>
  </si>
  <si>
    <t>High Vol Years (SP500 &gt; Median)</t>
  </si>
  <si>
    <t>Low Vol Years (SP500 &lt;= Median)</t>
  </si>
  <si>
    <t>SECTION B: Quintile Analysis (by S&amp;P 500 Annual Return)</t>
  </si>
  <si>
    <t>SP500 Quintile</t>
  </si>
  <si>
    <t>Worst 20%</t>
  </si>
  <si>
    <t>1973, 1974, 1977, 1981, 1990, 2000, 2001, 2002, 2008, 2018, 2022</t>
  </si>
  <si>
    <t>20-40%</t>
  </si>
  <si>
    <t>1971, 1978, 1984, 1987, 1992, 1994, 2005, 2007, 2011, 2015, 2026</t>
  </si>
  <si>
    <t>40-60%</t>
  </si>
  <si>
    <t>1979, 1982, 1986, 1988, 1993, 2004, 2006, 2010, 2012, 2014, 2016</t>
  </si>
  <si>
    <t>60-80%</t>
  </si>
  <si>
    <t>1972, 1976, 1983, 1996, 1999, 2009, 2017, 2020, 2023, 2024, 2025</t>
  </si>
  <si>
    <t>Best 20%</t>
  </si>
  <si>
    <t>1975, 1980, 1985, 1989, 1991, 1995, 1997, 1998, 2003, 2013, 2019, 2021</t>
  </si>
  <si>
    <t>5-Year Rolling Window Analysis</t>
  </si>
  <si>
    <t>Rolling 5-year windows smooth out year-to-year noise and reveal the underlying trend in the gold-equity relationship. The rolling correlation captures the medium-term hedging dynamic: a persistently negative rolling correlation would support gold's role as a structural hedge.
KEY OBSERVATION: The rolling 5-year correlation was predominantly negative through the 1990s and early 2000s, but has since fluctuated between negative and positive territory. The rolling gold volatility has also trended upward, while its return advantage over equities has narrowed in many periods.</t>
  </si>
  <si>
    <t>Window</t>
  </si>
  <si>
    <t>5Y Rolling
Correlation</t>
  </si>
  <si>
    <t>5Y Avg Gold
Ann. Vol</t>
  </si>
  <si>
    <t>5Y Avg SP500
Ann. Vol</t>
  </si>
  <si>
    <t>5Y Avg Gold
Return</t>
  </si>
  <si>
    <t>5Y Avg SP500
Return</t>
  </si>
  <si>
    <t>5Y Avg Vol
Ratio</t>
  </si>
  <si>
    <t>1971-1975</t>
  </si>
  <si>
    <t>1972-1976</t>
  </si>
  <si>
    <t>1973-1977</t>
  </si>
  <si>
    <t>1974-1978</t>
  </si>
  <si>
    <t>1975-1979</t>
  </si>
  <si>
    <t>1976-1980</t>
  </si>
  <si>
    <t>1977-1981</t>
  </si>
  <si>
    <t>1978-1982</t>
  </si>
  <si>
    <t>1979-1983</t>
  </si>
  <si>
    <t>1980-1984</t>
  </si>
  <si>
    <t>1981-1985</t>
  </si>
  <si>
    <t>1982-1986</t>
  </si>
  <si>
    <t>1983-1987</t>
  </si>
  <si>
    <t>1984-1988</t>
  </si>
  <si>
    <t>1985-1989</t>
  </si>
  <si>
    <t>1986-1990</t>
  </si>
  <si>
    <t>1987-1991</t>
  </si>
  <si>
    <t>1988-1992</t>
  </si>
  <si>
    <t>1989-1993</t>
  </si>
  <si>
    <t>1990-1994</t>
  </si>
  <si>
    <t>1991-1995</t>
  </si>
  <si>
    <t>1992-1996</t>
  </si>
  <si>
    <t>1993-1997</t>
  </si>
  <si>
    <t>1994-1998</t>
  </si>
  <si>
    <t>1995-1999</t>
  </si>
  <si>
    <t>1996-2000</t>
  </si>
  <si>
    <t>1997-2001</t>
  </si>
  <si>
    <t>1998-2002</t>
  </si>
  <si>
    <t>1999-2003</t>
  </si>
  <si>
    <t>2000-2004</t>
  </si>
  <si>
    <t>2001-2005</t>
  </si>
  <si>
    <t>2002-2006</t>
  </si>
  <si>
    <t>2003-2007</t>
  </si>
  <si>
    <t>2004-2008</t>
  </si>
  <si>
    <t>2005-2009</t>
  </si>
  <si>
    <t>2006-2010</t>
  </si>
  <si>
    <t>2007-2011</t>
  </si>
  <si>
    <t>2008-2012</t>
  </si>
  <si>
    <t>2009-2013</t>
  </si>
  <si>
    <t>2010-2014</t>
  </si>
  <si>
    <t>2011-2015</t>
  </si>
  <si>
    <t>2012-2016</t>
  </si>
  <si>
    <t>2013-2017</t>
  </si>
  <si>
    <t>2014-2018</t>
  </si>
  <si>
    <t>2015-2019</t>
  </si>
  <si>
    <t>2016-2020</t>
  </si>
  <si>
    <t>2017-2021</t>
  </si>
  <si>
    <t>2018-2022</t>
  </si>
  <si>
    <t>2019-2023</t>
  </si>
  <si>
    <t>2020-2024</t>
  </si>
  <si>
    <t>2021-2025</t>
  </si>
  <si>
    <t>2022-2026</t>
  </si>
  <si>
    <t>Data Prepared for Charting</t>
  </si>
  <si>
    <t>Gold Ann. Return</t>
  </si>
  <si>
    <t>SP500 Ann. Return</t>
  </si>
  <si>
    <t>Gold Ann. Vol</t>
  </si>
  <si>
    <t>SP500 Ann. Vol</t>
  </si>
  <si>
    <t>Vol Ratio</t>
  </si>
  <si>
    <t>Gold Price (YE)</t>
  </si>
  <si>
    <t>SP500 Price (YE)</t>
  </si>
  <si>
    <t>Gold Cumulative Return</t>
  </si>
</sst>
</file>

<file path=xl/styles.xml><?xml version="1.0" encoding="utf-8"?>
<styleSheet xmlns="http://schemas.openxmlformats.org/spreadsheetml/2006/main">
  <numFmts count="4">
    <numFmt numFmtId="164" formatCode="0.00%"/>
    <numFmt numFmtId="165" formatCode="0.00"/>
    <numFmt numFmtId="166" formatCode="#,##0.00"/>
    <numFmt numFmtId="167" formatCode="0.0%"/>
  </numFmts>
  <fonts count="11">
    <font>
      <sz val="11"/>
      <color theme="1"/>
      <name val="Calibri"/>
      <family val="2"/>
      <scheme val="minor"/>
    </font>
    <font>
      <b/>
      <sz val="13"/>
      <color rgb="FFC7963E"/>
      <name val="Calibri"/>
      <family val="2"/>
      <scheme val="minor"/>
    </font>
    <font>
      <b/>
      <sz val="11"/>
      <color rgb="FF1B3A4B"/>
      <name val="Calibri"/>
      <family val="2"/>
      <scheme val="minor"/>
    </font>
    <font>
      <sz val="10"/>
      <color rgb="FF333333"/>
      <name val="Calibri"/>
      <family val="2"/>
      <scheme val="minor"/>
    </font>
    <font>
      <b/>
      <sz val="10"/>
      <color rgb="FF8B0000"/>
      <name val="Calibri"/>
      <family val="2"/>
      <scheme val="minor"/>
    </font>
    <font>
      <sz val="10"/>
      <color theme="1"/>
      <name val="Calibri"/>
      <family val="2"/>
      <scheme val="minor"/>
    </font>
    <font>
      <b/>
      <sz val="16"/>
      <color rgb="FF1B3A4B"/>
      <name val="Calibri"/>
      <family val="2"/>
      <scheme val="minor"/>
    </font>
    <font>
      <b/>
      <sz val="10"/>
      <color rgb="FFFFFFFF"/>
      <name val="Calibri"/>
      <family val="2"/>
      <scheme val="minor"/>
    </font>
    <font>
      <sz val="11"/>
      <color rgb="FF9C0006"/>
      <name val="Calibri"/>
      <family val="2"/>
      <scheme val="minor"/>
    </font>
    <font>
      <sz val="11"/>
      <color rgb="FF006100"/>
      <name val="Calibri"/>
      <family val="2"/>
      <scheme val="minor"/>
    </font>
    <font>
      <b/>
      <sz val="10"/>
      <color theme="1"/>
      <name val="Calibri"/>
      <family val="2"/>
      <scheme val="minor"/>
    </font>
  </fonts>
  <fills count="9">
    <fill>
      <patternFill patternType="none"/>
    </fill>
    <fill>
      <patternFill patternType="gray125"/>
    </fill>
    <fill>
      <patternFill patternType="solid">
        <fgColor rgb="FFF5F0E6"/>
        <bgColor indexed="64"/>
      </patternFill>
    </fill>
    <fill>
      <patternFill patternType="solid">
        <fgColor rgb="FF1B3A4B"/>
        <bgColor indexed="64"/>
      </patternFill>
    </fill>
    <fill>
      <patternFill patternType="solid">
        <fgColor rgb="FFC7963E"/>
        <bgColor indexed="64"/>
      </patternFill>
    </fill>
    <fill>
      <patternFill patternType="solid">
        <fgColor rgb="FF2E5090"/>
        <bgColor indexed="64"/>
      </patternFill>
    </fill>
    <fill>
      <patternFill patternType="solid">
        <fgColor rgb="FFFFC7CE"/>
        <bgColor indexed="64"/>
      </patternFill>
    </fill>
    <fill>
      <patternFill patternType="solid">
        <fgColor rgb="FFC6EFCE"/>
        <bgColor indexed="64"/>
      </patternFill>
    </fill>
    <fill>
      <patternFill patternType="solid">
        <fgColor rgb="FFFFE699"/>
        <bgColor indexed="64"/>
      </patternFill>
    </fill>
  </fills>
  <borders count="5">
    <border>
      <left/>
      <right/>
      <top/>
      <bottom/>
      <diagonal/>
    </border>
    <border>
      <left/>
      <right/>
      <top/>
      <bottom style="thin">
        <color rgb="FFDDDDDD"/>
      </bottom>
      <diagonal/>
    </border>
    <border>
      <left/>
      <right/>
      <top/>
      <bottom style="thin">
        <color auto="1"/>
      </bottom>
      <diagonal/>
    </border>
    <border>
      <left/>
      <right/>
      <top/>
      <bottom style="medium">
        <color rgb="FFC7963E"/>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xf numFmtId="0" fontId="2" fillId="2" borderId="2" xfId="0" applyFont="1" applyFill="1" applyBorder="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3" xfId="0" applyFont="1" applyBorder="1"/>
    <xf numFmtId="0" fontId="7" fillId="3"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1" fontId="0" fillId="0" borderId="4" xfId="0" applyNumberFormat="1" applyBorder="1" applyAlignment="1">
      <alignment horizontal="center"/>
    </xf>
    <xf numFmtId="164" fontId="0" fillId="0" borderId="4" xfId="0" applyNumberFormat="1" applyBorder="1" applyAlignment="1">
      <alignment horizontal="center"/>
    </xf>
    <xf numFmtId="165" fontId="8" fillId="6" borderId="4" xfId="0" applyNumberFormat="1" applyFont="1" applyFill="1" applyBorder="1" applyAlignment="1">
      <alignment horizontal="center"/>
    </xf>
    <xf numFmtId="165" fontId="0" fillId="0" borderId="4" xfId="0" applyNumberFormat="1" applyBorder="1" applyAlignment="1">
      <alignment horizontal="center"/>
    </xf>
    <xf numFmtId="166" fontId="0" fillId="0" borderId="4" xfId="0" applyNumberFormat="1" applyBorder="1" applyAlignment="1">
      <alignment horizontal="center"/>
    </xf>
    <xf numFmtId="165" fontId="9" fillId="7" borderId="4" xfId="0" applyNumberFormat="1" applyFont="1" applyFill="1" applyBorder="1" applyAlignment="1">
      <alignment horizontal="center"/>
    </xf>
    <xf numFmtId="0" fontId="0" fillId="0" borderId="4" xfId="0" applyBorder="1" applyAlignment="1">
      <alignment horizontal="left" vertical="center" wrapText="1"/>
    </xf>
    <xf numFmtId="164" fontId="0" fillId="8" borderId="4" xfId="0" applyNumberFormat="1" applyFill="1" applyBorder="1" applyAlignment="1">
      <alignment horizontal="center"/>
    </xf>
    <xf numFmtId="0" fontId="10" fillId="0" borderId="0" xfId="0" applyFont="1" applyAlignment="1">
      <alignment vertical="top" wrapText="1"/>
    </xf>
    <xf numFmtId="167" fontId="0" fillId="0" borderId="4" xfId="0" applyNumberFormat="1" applyBorder="1" applyAlignment="1">
      <alignment horizontal="center"/>
    </xf>
    <xf numFmtId="0" fontId="0" fillId="0" borderId="4" xfId="0"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Annual Correlation: Gold vs. S&amp;P 500 Daily Returns</a:t>
            </a:r>
          </a:p>
        </c:rich>
      </c:tx>
      <c:layout/>
    </c:title>
    <c:plotArea>
      <c:layout/>
      <c:barChart>
        <c:barDir val="col"/>
        <c:grouping val="clustered"/>
        <c:ser>
          <c:idx val="0"/>
          <c:order val="0"/>
          <c:tx>
            <c:v>Gold-SP500 Correlation</c:v>
          </c:tx>
          <c:spPr>
            <a:solidFill>
              <a:srgbClr val="C7963E"/>
            </a:solidFill>
            <a:ln>
              <a:solidFill>
                <a:srgbClr val="C7963E"/>
              </a:solidFill>
            </a:ln>
          </c:spPr>
          <c:cat>
            <c:numRef>
              <c:f>'Chart Data'!$A$5:$A$60</c:f>
              <c:numCache>
                <c:formatCode>General</c:formatCode>
                <c:ptCount val="56"/>
                <c:pt idx="0">
                  <c:v>1971</c:v>
                </c:pt>
                <c:pt idx="1">
                  <c:v>1972</c:v>
                </c:pt>
                <c:pt idx="2">
                  <c:v>1973</c:v>
                </c:pt>
                <c:pt idx="3">
                  <c:v>1974</c:v>
                </c:pt>
                <c:pt idx="4">
                  <c:v>1975</c:v>
                </c:pt>
                <c:pt idx="5">
                  <c:v>1976</c:v>
                </c:pt>
                <c:pt idx="6">
                  <c:v>1977</c:v>
                </c:pt>
                <c:pt idx="7">
                  <c:v>1978</c:v>
                </c:pt>
                <c:pt idx="8">
                  <c:v>1979</c:v>
                </c:pt>
                <c:pt idx="9">
                  <c:v>1980</c:v>
                </c:pt>
                <c:pt idx="10">
                  <c:v>1981</c:v>
                </c:pt>
                <c:pt idx="11">
                  <c:v>1982</c:v>
                </c:pt>
                <c:pt idx="12">
                  <c:v>1983</c:v>
                </c:pt>
                <c:pt idx="13">
                  <c:v>1984</c:v>
                </c:pt>
                <c:pt idx="14">
                  <c:v>1985</c:v>
                </c:pt>
                <c:pt idx="15">
                  <c:v>1986</c:v>
                </c:pt>
                <c:pt idx="16">
                  <c:v>1987</c:v>
                </c:pt>
                <c:pt idx="17">
                  <c:v>1988</c:v>
                </c:pt>
                <c:pt idx="18">
                  <c:v>1989</c:v>
                </c:pt>
                <c:pt idx="19">
                  <c:v>1990</c:v>
                </c:pt>
                <c:pt idx="20">
                  <c:v>1991</c:v>
                </c:pt>
                <c:pt idx="21">
                  <c:v>1992</c:v>
                </c:pt>
                <c:pt idx="22">
                  <c:v>1993</c:v>
                </c:pt>
                <c:pt idx="23">
                  <c:v>1994</c:v>
                </c:pt>
                <c:pt idx="24">
                  <c:v>1995</c:v>
                </c:pt>
                <c:pt idx="25">
                  <c:v>1996</c:v>
                </c:pt>
                <c:pt idx="26">
                  <c:v>1997</c:v>
                </c:pt>
                <c:pt idx="27">
                  <c:v>1998</c:v>
                </c:pt>
                <c:pt idx="28">
                  <c:v>1999</c:v>
                </c:pt>
                <c:pt idx="29">
                  <c:v>2000</c:v>
                </c:pt>
                <c:pt idx="30">
                  <c:v>2001</c:v>
                </c:pt>
                <c:pt idx="31">
                  <c:v>2002</c:v>
                </c:pt>
                <c:pt idx="32">
                  <c:v>2003</c:v>
                </c:pt>
                <c:pt idx="33">
                  <c:v>2004</c:v>
                </c:pt>
                <c:pt idx="34">
                  <c:v>2005</c:v>
                </c:pt>
                <c:pt idx="35">
                  <c:v>2006</c:v>
                </c:pt>
                <c:pt idx="36">
                  <c:v>2007</c:v>
                </c:pt>
                <c:pt idx="37">
                  <c:v>2008</c:v>
                </c:pt>
                <c:pt idx="38">
                  <c:v>2009</c:v>
                </c:pt>
                <c:pt idx="39">
                  <c:v>2010</c:v>
                </c:pt>
                <c:pt idx="40">
                  <c:v>2011</c:v>
                </c:pt>
                <c:pt idx="41">
                  <c:v>2012</c:v>
                </c:pt>
                <c:pt idx="42">
                  <c:v>2013</c:v>
                </c:pt>
                <c:pt idx="43">
                  <c:v>2014</c:v>
                </c:pt>
                <c:pt idx="44">
                  <c:v>2015</c:v>
                </c:pt>
                <c:pt idx="45">
                  <c:v>2016</c:v>
                </c:pt>
                <c:pt idx="46">
                  <c:v>2017</c:v>
                </c:pt>
                <c:pt idx="47">
                  <c:v>2018</c:v>
                </c:pt>
                <c:pt idx="48">
                  <c:v>2019</c:v>
                </c:pt>
                <c:pt idx="49">
                  <c:v>2020</c:v>
                </c:pt>
                <c:pt idx="50">
                  <c:v>2021</c:v>
                </c:pt>
                <c:pt idx="51">
                  <c:v>2022</c:v>
                </c:pt>
                <c:pt idx="52">
                  <c:v>2023</c:v>
                </c:pt>
                <c:pt idx="53">
                  <c:v>2024</c:v>
                </c:pt>
                <c:pt idx="54">
                  <c:v>2025</c:v>
                </c:pt>
                <c:pt idx="55">
                  <c:v>2026</c:v>
                </c:pt>
              </c:numCache>
            </c:numRef>
          </c:cat>
          <c:val>
            <c:numRef>
              <c:f>'Chart Data'!$F$5:$F$60</c:f>
              <c:numCache>
                <c:formatCode>General</c:formatCode>
                <c:ptCount val="56"/>
                <c:pt idx="0">
                  <c:v>0.009076354569947067</c:v>
                </c:pt>
                <c:pt idx="1">
                  <c:v>-0.07789176148426194</c:v>
                </c:pt>
                <c:pt idx="2">
                  <c:v>0.01909090815443949</c:v>
                </c:pt>
                <c:pt idx="3">
                  <c:v>-0.02399071989771109</c:v>
                </c:pt>
                <c:pt idx="4">
                  <c:v>-0.1135130135416043</c:v>
                </c:pt>
                <c:pt idx="5">
                  <c:v>0.05687561200084758</c:v>
                </c:pt>
                <c:pt idx="6">
                  <c:v>-0.01292400406296275</c:v>
                </c:pt>
                <c:pt idx="7">
                  <c:v>-0.2593086920385285</c:v>
                </c:pt>
                <c:pt idx="8">
                  <c:v>-0.1834623090862749</c:v>
                </c:pt>
                <c:pt idx="9">
                  <c:v>0.1295239004739936</c:v>
                </c:pt>
                <c:pt idx="10">
                  <c:v>0.06301339502862592</c:v>
                </c:pt>
                <c:pt idx="11">
                  <c:v>0.242621453441557</c:v>
                </c:pt>
                <c:pt idx="12">
                  <c:v>0.1319237082700245</c:v>
                </c:pt>
                <c:pt idx="13">
                  <c:v>-0.0833524456693148</c:v>
                </c:pt>
                <c:pt idx="14">
                  <c:v>0.01737254956283801</c:v>
                </c:pt>
                <c:pt idx="15">
                  <c:v>0.01198643731136147</c:v>
                </c:pt>
                <c:pt idx="16">
                  <c:v>-0.2936824419003539</c:v>
                </c:pt>
                <c:pt idx="17">
                  <c:v>-0.2025775703651215</c:v>
                </c:pt>
                <c:pt idx="18">
                  <c:v>-0.08504410644648201</c:v>
                </c:pt>
                <c:pt idx="19">
                  <c:v>-0.3130000869773901</c:v>
                </c:pt>
                <c:pt idx="20">
                  <c:v>-0.3266107734967155</c:v>
                </c:pt>
                <c:pt idx="21">
                  <c:v>-0.01265423156324004</c:v>
                </c:pt>
                <c:pt idx="22">
                  <c:v>-0.2223568091800767</c:v>
                </c:pt>
                <c:pt idx="23">
                  <c:v>-0.202924954894448</c:v>
                </c:pt>
                <c:pt idx="24">
                  <c:v>-0.1222300472080301</c:v>
                </c:pt>
                <c:pt idx="25">
                  <c:v>-0.1540400778305566</c:v>
                </c:pt>
                <c:pt idx="26">
                  <c:v>-0.1720226037456908</c:v>
                </c:pt>
                <c:pt idx="27">
                  <c:v>-0.001332252813818866</c:v>
                </c:pt>
                <c:pt idx="28">
                  <c:v>-0.002206848852024095</c:v>
                </c:pt>
                <c:pt idx="29">
                  <c:v>-0.03971580165611863</c:v>
                </c:pt>
                <c:pt idx="30">
                  <c:v>-0.08334147213764827</c:v>
                </c:pt>
                <c:pt idx="31">
                  <c:v>-0.3164977077321288</c:v>
                </c:pt>
                <c:pt idx="32">
                  <c:v>-0.3638978430562975</c:v>
                </c:pt>
                <c:pt idx="33">
                  <c:v>0.08174743316141374</c:v>
                </c:pt>
                <c:pt idx="34">
                  <c:v>-0.00194445349459725</c:v>
                </c:pt>
                <c:pt idx="35">
                  <c:v>0.1349255460586931</c:v>
                </c:pt>
                <c:pt idx="36">
                  <c:v>0.2992892816538317</c:v>
                </c:pt>
                <c:pt idx="37">
                  <c:v>-0.001599055575645775</c:v>
                </c:pt>
                <c:pt idx="38">
                  <c:v>0.03001956148720267</c:v>
                </c:pt>
                <c:pt idx="39">
                  <c:v>0.2064614466243936</c:v>
                </c:pt>
                <c:pt idx="40">
                  <c:v>-0.02874038323187598</c:v>
                </c:pt>
                <c:pt idx="41">
                  <c:v>0.2659000897358805</c:v>
                </c:pt>
                <c:pt idx="42">
                  <c:v>0.1685361241454046</c:v>
                </c:pt>
                <c:pt idx="43">
                  <c:v>-0.1582414550832487</c:v>
                </c:pt>
                <c:pt idx="44">
                  <c:v>-0.04880149483463479</c:v>
                </c:pt>
                <c:pt idx="45">
                  <c:v>-0.3392935823465991</c:v>
                </c:pt>
                <c:pt idx="46">
                  <c:v>-0.2291223844716022</c:v>
                </c:pt>
                <c:pt idx="47">
                  <c:v>-0.050300400373465</c:v>
                </c:pt>
                <c:pt idx="48">
                  <c:v>-0.2822232506563812</c:v>
                </c:pt>
                <c:pt idx="49">
                  <c:v>0.1383604509662362</c:v>
                </c:pt>
                <c:pt idx="50">
                  <c:v>0.1316553645667959</c:v>
                </c:pt>
                <c:pt idx="51">
                  <c:v>0.1841393659968647</c:v>
                </c:pt>
                <c:pt idx="52">
                  <c:v>-0.0271494321982413</c:v>
                </c:pt>
                <c:pt idx="53">
                  <c:v>0.2296006522926687</c:v>
                </c:pt>
                <c:pt idx="54">
                  <c:v>0.007335570898067249</c:v>
                </c:pt>
                <c:pt idx="55">
                  <c:v>0.01307054617600782</c:v>
                </c:pt>
              </c:numCache>
            </c:numRef>
          </c:val>
        </c:ser>
        <c:axId val="50010001"/>
        <c:axId val="50010002"/>
      </c:barChart>
      <c:catAx>
        <c:axId val="50010001"/>
        <c:scaling>
          <c:orientation val="minMax"/>
        </c:scaling>
        <c:axPos val="b"/>
        <c:title>
          <c:tx>
            <c:rich>
              <a:bodyPr/>
              <a:lstStyle/>
              <a:p>
                <a:pPr>
                  <a:defRPr/>
                </a:pPr>
                <a:r>
                  <a:rPr lang="en-US"/>
                  <a:t>Year</a:t>
                </a:r>
              </a:p>
            </c:rich>
          </c:tx>
          <c:layout/>
        </c:title>
        <c:numFmt formatCode="General" sourceLinked="1"/>
        <c:tickLblPos val="nextTo"/>
        <c:txPr>
          <a:bodyPr rot="-2700000" vert="horz"/>
          <a:lstStyle/>
          <a:p>
            <a:pPr>
              <a:defRPr sz="800" baseline="0"/>
            </a:pPr>
            <a:endParaRPr lang="en-US"/>
          </a:p>
        </c:txPr>
        <c:crossAx val="50010002"/>
        <c:crosses val="autoZero"/>
        <c:auto val="1"/>
        <c:lblAlgn val="ctr"/>
        <c:lblOffset val="100"/>
      </c:catAx>
      <c:valAx>
        <c:axId val="50010002"/>
        <c:scaling>
          <c:orientation val="minMax"/>
          <c:max val="1"/>
          <c:min val="-1"/>
        </c:scaling>
        <c:axPos val="l"/>
        <c:majorGridlines/>
        <c:title>
          <c:tx>
            <c:rich>
              <a:bodyPr/>
              <a:lstStyle/>
              <a:p>
                <a:pPr>
                  <a:defRPr/>
                </a:pPr>
                <a:r>
                  <a:rPr lang="en-US"/>
                  <a:t>Correlation</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Annualised Volatility: Gold vs. S&amp;P 500</a:t>
            </a:r>
          </a:p>
        </c:rich>
      </c:tx>
      <c:layout/>
    </c:title>
    <c:plotArea>
      <c:layout/>
      <c:lineChart>
        <c:grouping val="standard"/>
        <c:ser>
          <c:idx val="0"/>
          <c:order val="0"/>
          <c:tx>
            <c:v>Gold Annualised Vol</c:v>
          </c:tx>
          <c:spPr>
            <a:ln w="25400">
              <a:solidFill>
                <a:srgbClr val="C7963E"/>
              </a:solidFill>
            </a:ln>
          </c:spPr>
          <c:marker>
            <c:symbol val="none"/>
          </c:marker>
          <c:cat>
            <c:numRef>
              <c:f>'Chart Data'!$A$5:$A$60</c:f>
              <c:numCache>
                <c:formatCode>General</c:formatCode>
                <c:ptCount val="56"/>
                <c:pt idx="0">
                  <c:v>1971</c:v>
                </c:pt>
                <c:pt idx="1">
                  <c:v>1972</c:v>
                </c:pt>
                <c:pt idx="2">
                  <c:v>1973</c:v>
                </c:pt>
                <c:pt idx="3">
                  <c:v>1974</c:v>
                </c:pt>
                <c:pt idx="4">
                  <c:v>1975</c:v>
                </c:pt>
                <c:pt idx="5">
                  <c:v>1976</c:v>
                </c:pt>
                <c:pt idx="6">
                  <c:v>1977</c:v>
                </c:pt>
                <c:pt idx="7">
                  <c:v>1978</c:v>
                </c:pt>
                <c:pt idx="8">
                  <c:v>1979</c:v>
                </c:pt>
                <c:pt idx="9">
                  <c:v>1980</c:v>
                </c:pt>
                <c:pt idx="10">
                  <c:v>1981</c:v>
                </c:pt>
                <c:pt idx="11">
                  <c:v>1982</c:v>
                </c:pt>
                <c:pt idx="12">
                  <c:v>1983</c:v>
                </c:pt>
                <c:pt idx="13">
                  <c:v>1984</c:v>
                </c:pt>
                <c:pt idx="14">
                  <c:v>1985</c:v>
                </c:pt>
                <c:pt idx="15">
                  <c:v>1986</c:v>
                </c:pt>
                <c:pt idx="16">
                  <c:v>1987</c:v>
                </c:pt>
                <c:pt idx="17">
                  <c:v>1988</c:v>
                </c:pt>
                <c:pt idx="18">
                  <c:v>1989</c:v>
                </c:pt>
                <c:pt idx="19">
                  <c:v>1990</c:v>
                </c:pt>
                <c:pt idx="20">
                  <c:v>1991</c:v>
                </c:pt>
                <c:pt idx="21">
                  <c:v>1992</c:v>
                </c:pt>
                <c:pt idx="22">
                  <c:v>1993</c:v>
                </c:pt>
                <c:pt idx="23">
                  <c:v>1994</c:v>
                </c:pt>
                <c:pt idx="24">
                  <c:v>1995</c:v>
                </c:pt>
                <c:pt idx="25">
                  <c:v>1996</c:v>
                </c:pt>
                <c:pt idx="26">
                  <c:v>1997</c:v>
                </c:pt>
                <c:pt idx="27">
                  <c:v>1998</c:v>
                </c:pt>
                <c:pt idx="28">
                  <c:v>1999</c:v>
                </c:pt>
                <c:pt idx="29">
                  <c:v>2000</c:v>
                </c:pt>
                <c:pt idx="30">
                  <c:v>2001</c:v>
                </c:pt>
                <c:pt idx="31">
                  <c:v>2002</c:v>
                </c:pt>
                <c:pt idx="32">
                  <c:v>2003</c:v>
                </c:pt>
                <c:pt idx="33">
                  <c:v>2004</c:v>
                </c:pt>
                <c:pt idx="34">
                  <c:v>2005</c:v>
                </c:pt>
                <c:pt idx="35">
                  <c:v>2006</c:v>
                </c:pt>
                <c:pt idx="36">
                  <c:v>2007</c:v>
                </c:pt>
                <c:pt idx="37">
                  <c:v>2008</c:v>
                </c:pt>
                <c:pt idx="38">
                  <c:v>2009</c:v>
                </c:pt>
                <c:pt idx="39">
                  <c:v>2010</c:v>
                </c:pt>
                <c:pt idx="40">
                  <c:v>2011</c:v>
                </c:pt>
                <c:pt idx="41">
                  <c:v>2012</c:v>
                </c:pt>
                <c:pt idx="42">
                  <c:v>2013</c:v>
                </c:pt>
                <c:pt idx="43">
                  <c:v>2014</c:v>
                </c:pt>
                <c:pt idx="44">
                  <c:v>2015</c:v>
                </c:pt>
                <c:pt idx="45">
                  <c:v>2016</c:v>
                </c:pt>
                <c:pt idx="46">
                  <c:v>2017</c:v>
                </c:pt>
                <c:pt idx="47">
                  <c:v>2018</c:v>
                </c:pt>
                <c:pt idx="48">
                  <c:v>2019</c:v>
                </c:pt>
                <c:pt idx="49">
                  <c:v>2020</c:v>
                </c:pt>
                <c:pt idx="50">
                  <c:v>2021</c:v>
                </c:pt>
                <c:pt idx="51">
                  <c:v>2022</c:v>
                </c:pt>
                <c:pt idx="52">
                  <c:v>2023</c:v>
                </c:pt>
                <c:pt idx="53">
                  <c:v>2024</c:v>
                </c:pt>
                <c:pt idx="54">
                  <c:v>2025</c:v>
                </c:pt>
                <c:pt idx="55">
                  <c:v>2026</c:v>
                </c:pt>
              </c:numCache>
            </c:numRef>
          </c:cat>
          <c:val>
            <c:numRef>
              <c:f>'Chart Data'!$D$5:$D$60</c:f>
              <c:numCache>
                <c:formatCode>General</c:formatCode>
                <c:ptCount val="56"/>
                <c:pt idx="0">
                  <c:v>0.0897046749814706</c:v>
                </c:pt>
                <c:pt idx="1">
                  <c:v>0.173297237871932</c:v>
                </c:pt>
                <c:pt idx="2">
                  <c:v>0.3392105819874851</c:v>
                </c:pt>
                <c:pt idx="3">
                  <c:v>0.3156406329515388</c:v>
                </c:pt>
                <c:pt idx="4">
                  <c:v>0.2074665105645662</c:v>
                </c:pt>
                <c:pt idx="5">
                  <c:v>0.2110944091973285</c:v>
                </c:pt>
                <c:pt idx="6">
                  <c:v>0.1328352018809345</c:v>
                </c:pt>
                <c:pt idx="7">
                  <c:v>0.2121906631138085</c:v>
                </c:pt>
                <c:pt idx="8">
                  <c:v>0.275385797298444</c:v>
                </c:pt>
                <c:pt idx="9">
                  <c:v>0.4874717205880139</c:v>
                </c:pt>
                <c:pt idx="10">
                  <c:v>0.2866275246945725</c:v>
                </c:pt>
                <c:pt idx="11">
                  <c:v>0.336881653651192</c:v>
                </c:pt>
                <c:pt idx="12">
                  <c:v>0.2502369508395197</c:v>
                </c:pt>
                <c:pt idx="13">
                  <c:v>0.1575256406620276</c:v>
                </c:pt>
                <c:pt idx="14">
                  <c:v>0.1687893885239364</c:v>
                </c:pt>
                <c:pt idx="15">
                  <c:v>0.1846779686509503</c:v>
                </c:pt>
                <c:pt idx="16">
                  <c:v>0.1540234190586887</c:v>
                </c:pt>
                <c:pt idx="17">
                  <c:v>0.1247578788097252</c:v>
                </c:pt>
                <c:pt idx="18">
                  <c:v>0.1309555131702836</c:v>
                </c:pt>
                <c:pt idx="19">
                  <c:v>0.1697273602152488</c:v>
                </c:pt>
                <c:pt idx="20">
                  <c:v>0.1213676404274751</c:v>
                </c:pt>
                <c:pt idx="21">
                  <c:v>0.07796607629435509</c:v>
                </c:pt>
                <c:pt idx="22">
                  <c:v>0.1414885133999891</c:v>
                </c:pt>
                <c:pt idx="23">
                  <c:v>0.08932015511509557</c:v>
                </c:pt>
                <c:pt idx="24">
                  <c:v>0.06311941204465549</c:v>
                </c:pt>
                <c:pt idx="25">
                  <c:v>0.05843800121415133</c:v>
                </c:pt>
                <c:pt idx="26">
                  <c:v>0.1194711909587497</c:v>
                </c:pt>
                <c:pt idx="27">
                  <c:v>0.1263195337757529</c:v>
                </c:pt>
                <c:pt idx="28">
                  <c:v>0.1666431484175127</c:v>
                </c:pt>
                <c:pt idx="29">
                  <c:v>0.1594594867564336</c:v>
                </c:pt>
                <c:pt idx="30">
                  <c:v>0.1438041753680762</c:v>
                </c:pt>
                <c:pt idx="31">
                  <c:v>0.1295291950451046</c:v>
                </c:pt>
                <c:pt idx="32">
                  <c:v>0.1666879400813075</c:v>
                </c:pt>
                <c:pt idx="33">
                  <c:v>0.1505464720462366</c:v>
                </c:pt>
                <c:pt idx="34">
                  <c:v>0.1237916317700937</c:v>
                </c:pt>
                <c:pt idx="35">
                  <c:v>0.2346565143652818</c:v>
                </c:pt>
                <c:pt idx="36">
                  <c:v>0.1659785537235791</c:v>
                </c:pt>
                <c:pt idx="37">
                  <c:v>0.3093540364765209</c:v>
                </c:pt>
                <c:pt idx="38">
                  <c:v>0.2007890671903484</c:v>
                </c:pt>
                <c:pt idx="39">
                  <c:v>0.1569835169371043</c:v>
                </c:pt>
                <c:pt idx="40">
                  <c:v>0.2009515185049686</c:v>
                </c:pt>
                <c:pt idx="41">
                  <c:v>0.1478311319403015</c:v>
                </c:pt>
                <c:pt idx="42">
                  <c:v>0.2140605122635685</c:v>
                </c:pt>
                <c:pt idx="43">
                  <c:v>0.1428040309423317</c:v>
                </c:pt>
                <c:pt idx="44">
                  <c:v>0.1362283265217182</c:v>
                </c:pt>
                <c:pt idx="45">
                  <c:v>0.1560511518809965</c:v>
                </c:pt>
                <c:pt idx="46">
                  <c:v>0.09899417449346425</c:v>
                </c:pt>
                <c:pt idx="47">
                  <c:v>0.09737172456559669</c:v>
                </c:pt>
                <c:pt idx="48">
                  <c:v>0.1124977410057542</c:v>
                </c:pt>
                <c:pt idx="49">
                  <c:v>0.1894102519310324</c:v>
                </c:pt>
                <c:pt idx="50">
                  <c:v>0.1331881304494163</c:v>
                </c:pt>
                <c:pt idx="51">
                  <c:v>0.1490854130796051</c:v>
                </c:pt>
                <c:pt idx="52">
                  <c:v>0.1328207439430913</c:v>
                </c:pt>
                <c:pt idx="53">
                  <c:v>0.1490398936936416</c:v>
                </c:pt>
                <c:pt idx="54">
                  <c:v>0.1895214620443253</c:v>
                </c:pt>
                <c:pt idx="55">
                  <c:v>0.464641214068048</c:v>
                </c:pt>
              </c:numCache>
            </c:numRef>
          </c:val>
        </c:ser>
        <c:ser>
          <c:idx val="1"/>
          <c:order val="1"/>
          <c:tx>
            <c:v>S&amp;P 500 Annualised Vol</c:v>
          </c:tx>
          <c:spPr>
            <a:ln w="25400">
              <a:solidFill>
                <a:srgbClr val="2E5090"/>
              </a:solidFill>
            </a:ln>
          </c:spPr>
          <c:marker>
            <c:symbol val="none"/>
          </c:marker>
          <c:cat>
            <c:numRef>
              <c:f>'Chart Data'!$A$5:$A$60</c:f>
              <c:numCache>
                <c:formatCode>General</c:formatCode>
                <c:ptCount val="56"/>
                <c:pt idx="0">
                  <c:v>1971</c:v>
                </c:pt>
                <c:pt idx="1">
                  <c:v>1972</c:v>
                </c:pt>
                <c:pt idx="2">
                  <c:v>1973</c:v>
                </c:pt>
                <c:pt idx="3">
                  <c:v>1974</c:v>
                </c:pt>
                <c:pt idx="4">
                  <c:v>1975</c:v>
                </c:pt>
                <c:pt idx="5">
                  <c:v>1976</c:v>
                </c:pt>
                <c:pt idx="6">
                  <c:v>1977</c:v>
                </c:pt>
                <c:pt idx="7">
                  <c:v>1978</c:v>
                </c:pt>
                <c:pt idx="8">
                  <c:v>1979</c:v>
                </c:pt>
                <c:pt idx="9">
                  <c:v>1980</c:v>
                </c:pt>
                <c:pt idx="10">
                  <c:v>1981</c:v>
                </c:pt>
                <c:pt idx="11">
                  <c:v>1982</c:v>
                </c:pt>
                <c:pt idx="12">
                  <c:v>1983</c:v>
                </c:pt>
                <c:pt idx="13">
                  <c:v>1984</c:v>
                </c:pt>
                <c:pt idx="14">
                  <c:v>1985</c:v>
                </c:pt>
                <c:pt idx="15">
                  <c:v>1986</c:v>
                </c:pt>
                <c:pt idx="16">
                  <c:v>1987</c:v>
                </c:pt>
                <c:pt idx="17">
                  <c:v>1988</c:v>
                </c:pt>
                <c:pt idx="18">
                  <c:v>1989</c:v>
                </c:pt>
                <c:pt idx="19">
                  <c:v>1990</c:v>
                </c:pt>
                <c:pt idx="20">
                  <c:v>1991</c:v>
                </c:pt>
                <c:pt idx="21">
                  <c:v>1992</c:v>
                </c:pt>
                <c:pt idx="22">
                  <c:v>1993</c:v>
                </c:pt>
                <c:pt idx="23">
                  <c:v>1994</c:v>
                </c:pt>
                <c:pt idx="24">
                  <c:v>1995</c:v>
                </c:pt>
                <c:pt idx="25">
                  <c:v>1996</c:v>
                </c:pt>
                <c:pt idx="26">
                  <c:v>1997</c:v>
                </c:pt>
                <c:pt idx="27">
                  <c:v>1998</c:v>
                </c:pt>
                <c:pt idx="28">
                  <c:v>1999</c:v>
                </c:pt>
                <c:pt idx="29">
                  <c:v>2000</c:v>
                </c:pt>
                <c:pt idx="30">
                  <c:v>2001</c:v>
                </c:pt>
                <c:pt idx="31">
                  <c:v>2002</c:v>
                </c:pt>
                <c:pt idx="32">
                  <c:v>2003</c:v>
                </c:pt>
                <c:pt idx="33">
                  <c:v>2004</c:v>
                </c:pt>
                <c:pt idx="34">
                  <c:v>2005</c:v>
                </c:pt>
                <c:pt idx="35">
                  <c:v>2006</c:v>
                </c:pt>
                <c:pt idx="36">
                  <c:v>2007</c:v>
                </c:pt>
                <c:pt idx="37">
                  <c:v>2008</c:v>
                </c:pt>
                <c:pt idx="38">
                  <c:v>2009</c:v>
                </c:pt>
                <c:pt idx="39">
                  <c:v>2010</c:v>
                </c:pt>
                <c:pt idx="40">
                  <c:v>2011</c:v>
                </c:pt>
                <c:pt idx="41">
                  <c:v>2012</c:v>
                </c:pt>
                <c:pt idx="42">
                  <c:v>2013</c:v>
                </c:pt>
                <c:pt idx="43">
                  <c:v>2014</c:v>
                </c:pt>
                <c:pt idx="44">
                  <c:v>2015</c:v>
                </c:pt>
                <c:pt idx="45">
                  <c:v>2016</c:v>
                </c:pt>
                <c:pt idx="46">
                  <c:v>2017</c:v>
                </c:pt>
                <c:pt idx="47">
                  <c:v>2018</c:v>
                </c:pt>
                <c:pt idx="48">
                  <c:v>2019</c:v>
                </c:pt>
                <c:pt idx="49">
                  <c:v>2020</c:v>
                </c:pt>
                <c:pt idx="50">
                  <c:v>2021</c:v>
                </c:pt>
                <c:pt idx="51">
                  <c:v>2022</c:v>
                </c:pt>
                <c:pt idx="52">
                  <c:v>2023</c:v>
                </c:pt>
                <c:pt idx="53">
                  <c:v>2024</c:v>
                </c:pt>
                <c:pt idx="54">
                  <c:v>2025</c:v>
                </c:pt>
                <c:pt idx="55">
                  <c:v>2026</c:v>
                </c:pt>
              </c:numCache>
            </c:numRef>
          </c:cat>
          <c:val>
            <c:numRef>
              <c:f>'Chart Data'!$E$5:$E$60</c:f>
              <c:numCache>
                <c:formatCode>General</c:formatCode>
                <c:ptCount val="56"/>
                <c:pt idx="0">
                  <c:v>0.1224265331357325</c:v>
                </c:pt>
                <c:pt idx="1">
                  <c:v>0.07955518640229378</c:v>
                </c:pt>
                <c:pt idx="2">
                  <c:v>0.1554849870369502</c:v>
                </c:pt>
                <c:pt idx="3">
                  <c:v>0.2143995997261947</c:v>
                </c:pt>
                <c:pt idx="4">
                  <c:v>0.1520866013036432</c:v>
                </c:pt>
                <c:pt idx="5">
                  <c:v>0.109090863974782</c:v>
                </c:pt>
                <c:pt idx="6">
                  <c:v>0.089870218226641</c:v>
                </c:pt>
                <c:pt idx="7">
                  <c:v>0.1238278232815859</c:v>
                </c:pt>
                <c:pt idx="8">
                  <c:v>0.1068357967573815</c:v>
                </c:pt>
                <c:pt idx="9">
                  <c:v>0.16183275363467</c:v>
                </c:pt>
                <c:pt idx="10">
                  <c:v>0.1332250091517384</c:v>
                </c:pt>
                <c:pt idx="11">
                  <c:v>0.1806984342180758</c:v>
                </c:pt>
                <c:pt idx="12">
                  <c:v>0.1313874919367784</c:v>
                </c:pt>
                <c:pt idx="13">
                  <c:v>0.1250769892215</c:v>
                </c:pt>
                <c:pt idx="14">
                  <c:v>0.09988617345478602</c:v>
                </c:pt>
                <c:pt idx="15">
                  <c:v>0.145222032476289</c:v>
                </c:pt>
                <c:pt idx="16">
                  <c:v>0.3321047268435224</c:v>
                </c:pt>
                <c:pt idx="17">
                  <c:v>0.1690219745957705</c:v>
                </c:pt>
                <c:pt idx="18">
                  <c:v>0.1294136010376324</c:v>
                </c:pt>
                <c:pt idx="19">
                  <c:v>0.1571798693808666</c:v>
                </c:pt>
                <c:pt idx="20">
                  <c:v>0.1405324313313116</c:v>
                </c:pt>
                <c:pt idx="21">
                  <c:v>0.09530231453721418</c:v>
                </c:pt>
                <c:pt idx="22">
                  <c:v>0.08469275763796073</c:v>
                </c:pt>
                <c:pt idx="23">
                  <c:v>0.09699766876413787</c:v>
                </c:pt>
                <c:pt idx="24">
                  <c:v>0.07683925520319865</c:v>
                </c:pt>
                <c:pt idx="25">
                  <c:v>0.1161788435041606</c:v>
                </c:pt>
                <c:pt idx="26">
                  <c:v>0.1789630589278327</c:v>
                </c:pt>
                <c:pt idx="27">
                  <c:v>0.1998958947575689</c:v>
                </c:pt>
                <c:pt idx="28">
                  <c:v>0.1773654360900722</c:v>
                </c:pt>
                <c:pt idx="29">
                  <c:v>0.2188138949709684</c:v>
                </c:pt>
                <c:pt idx="30">
                  <c:v>0.2101697124006145</c:v>
                </c:pt>
                <c:pt idx="31">
                  <c:v>0.2550800225804226</c:v>
                </c:pt>
                <c:pt idx="32">
                  <c:v>0.1674933262694217</c:v>
                </c:pt>
                <c:pt idx="33">
                  <c:v>0.1087948855634705</c:v>
                </c:pt>
                <c:pt idx="34">
                  <c:v>0.1012400804702844</c:v>
                </c:pt>
                <c:pt idx="35">
                  <c:v>0.09852128466827911</c:v>
                </c:pt>
                <c:pt idx="36">
                  <c:v>0.1571019203421088</c:v>
                </c:pt>
                <c:pt idx="37">
                  <c:v>0.403057944951744</c:v>
                </c:pt>
                <c:pt idx="38">
                  <c:v>0.2679100348471495</c:v>
                </c:pt>
                <c:pt idx="39">
                  <c:v>0.1774725723899137</c:v>
                </c:pt>
                <c:pt idx="40">
                  <c:v>0.2299089290811631</c:v>
                </c:pt>
                <c:pt idx="41">
                  <c:v>0.1248575041086968</c:v>
                </c:pt>
                <c:pt idx="42">
                  <c:v>0.1088167609412906</c:v>
                </c:pt>
                <c:pt idx="43">
                  <c:v>0.111843638184248</c:v>
                </c:pt>
                <c:pt idx="44">
                  <c:v>0.1523840806758382</c:v>
                </c:pt>
                <c:pt idx="45">
                  <c:v>0.1288358753664781</c:v>
                </c:pt>
                <c:pt idx="46">
                  <c:v>0.06573344136421218</c:v>
                </c:pt>
                <c:pt idx="47">
                  <c:v>0.1676697659339109</c:v>
                </c:pt>
                <c:pt idx="48">
                  <c:v>0.1226715402256001</c:v>
                </c:pt>
                <c:pt idx="49">
                  <c:v>0.3408458088469745</c:v>
                </c:pt>
                <c:pt idx="50">
                  <c:v>0.128793839399866</c:v>
                </c:pt>
                <c:pt idx="51">
                  <c:v>0.2376848436642185</c:v>
                </c:pt>
                <c:pt idx="52">
                  <c:v>0.1283021967427266</c:v>
                </c:pt>
                <c:pt idx="53">
                  <c:v>0.1242388478409982</c:v>
                </c:pt>
                <c:pt idx="54">
                  <c:v>0.1824925424024391</c:v>
                </c:pt>
                <c:pt idx="55">
                  <c:v>0.1004579637805797</c:v>
                </c:pt>
              </c:numCache>
            </c:numRef>
          </c:val>
        </c:ser>
        <c:marker val="1"/>
        <c:axId val="50020001"/>
        <c:axId val="50020002"/>
      </c:lineChart>
      <c:catAx>
        <c:axId val="50020001"/>
        <c:scaling>
          <c:orientation val="minMax"/>
        </c:scaling>
        <c:axPos val="b"/>
        <c:title>
          <c:tx>
            <c:rich>
              <a:bodyPr/>
              <a:lstStyle/>
              <a:p>
                <a:pPr>
                  <a:defRPr/>
                </a:pPr>
                <a:r>
                  <a:rPr lang="en-US"/>
                  <a:t>Year</a:t>
                </a:r>
              </a:p>
            </c:rich>
          </c:tx>
          <c:layout/>
        </c:title>
        <c:numFmt formatCode="General" sourceLinked="1"/>
        <c:tickLblPos val="nextTo"/>
        <c:txPr>
          <a:bodyPr rot="-2700000" vert="horz"/>
          <a:lstStyle/>
          <a:p>
            <a:pPr>
              <a:defRPr sz="800" baseline="0"/>
            </a:pPr>
            <a:endParaRPr lang="en-US"/>
          </a:p>
        </c:txPr>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Annualised Volatility</a:t>
                </a:r>
              </a:p>
            </c:rich>
          </c:tx>
          <c:layout/>
        </c:title>
        <c:numFmt formatCode="0%" sourceLinked="0"/>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Annual Log Returns: Gold vs. S&amp;P 500</a:t>
            </a:r>
          </a:p>
        </c:rich>
      </c:tx>
      <c:layout/>
    </c:title>
    <c:plotArea>
      <c:layout/>
      <c:barChart>
        <c:barDir val="col"/>
        <c:grouping val="clustered"/>
        <c:ser>
          <c:idx val="0"/>
          <c:order val="0"/>
          <c:tx>
            <c:v>Gold Annual Return</c:v>
          </c:tx>
          <c:spPr>
            <a:solidFill>
              <a:srgbClr val="C7963E"/>
            </a:solidFill>
          </c:spPr>
          <c:cat>
            <c:numRef>
              <c:f>'Chart Data'!$A$5:$A$60</c:f>
              <c:numCache>
                <c:formatCode>General</c:formatCode>
                <c:ptCount val="56"/>
                <c:pt idx="0">
                  <c:v>1971</c:v>
                </c:pt>
                <c:pt idx="1">
                  <c:v>1972</c:v>
                </c:pt>
                <c:pt idx="2">
                  <c:v>1973</c:v>
                </c:pt>
                <c:pt idx="3">
                  <c:v>1974</c:v>
                </c:pt>
                <c:pt idx="4">
                  <c:v>1975</c:v>
                </c:pt>
                <c:pt idx="5">
                  <c:v>1976</c:v>
                </c:pt>
                <c:pt idx="6">
                  <c:v>1977</c:v>
                </c:pt>
                <c:pt idx="7">
                  <c:v>1978</c:v>
                </c:pt>
                <c:pt idx="8">
                  <c:v>1979</c:v>
                </c:pt>
                <c:pt idx="9">
                  <c:v>1980</c:v>
                </c:pt>
                <c:pt idx="10">
                  <c:v>1981</c:v>
                </c:pt>
                <c:pt idx="11">
                  <c:v>1982</c:v>
                </c:pt>
                <c:pt idx="12">
                  <c:v>1983</c:v>
                </c:pt>
                <c:pt idx="13">
                  <c:v>1984</c:v>
                </c:pt>
                <c:pt idx="14">
                  <c:v>1985</c:v>
                </c:pt>
                <c:pt idx="15">
                  <c:v>1986</c:v>
                </c:pt>
                <c:pt idx="16">
                  <c:v>1987</c:v>
                </c:pt>
                <c:pt idx="17">
                  <c:v>1988</c:v>
                </c:pt>
                <c:pt idx="18">
                  <c:v>1989</c:v>
                </c:pt>
                <c:pt idx="19">
                  <c:v>1990</c:v>
                </c:pt>
                <c:pt idx="20">
                  <c:v>1991</c:v>
                </c:pt>
                <c:pt idx="21">
                  <c:v>1992</c:v>
                </c:pt>
                <c:pt idx="22">
                  <c:v>1993</c:v>
                </c:pt>
                <c:pt idx="23">
                  <c:v>1994</c:v>
                </c:pt>
                <c:pt idx="24">
                  <c:v>1995</c:v>
                </c:pt>
                <c:pt idx="25">
                  <c:v>1996</c:v>
                </c:pt>
                <c:pt idx="26">
                  <c:v>1997</c:v>
                </c:pt>
                <c:pt idx="27">
                  <c:v>1998</c:v>
                </c:pt>
                <c:pt idx="28">
                  <c:v>1999</c:v>
                </c:pt>
                <c:pt idx="29">
                  <c:v>2000</c:v>
                </c:pt>
                <c:pt idx="30">
                  <c:v>2001</c:v>
                </c:pt>
                <c:pt idx="31">
                  <c:v>2002</c:v>
                </c:pt>
                <c:pt idx="32">
                  <c:v>2003</c:v>
                </c:pt>
                <c:pt idx="33">
                  <c:v>2004</c:v>
                </c:pt>
                <c:pt idx="34">
                  <c:v>2005</c:v>
                </c:pt>
                <c:pt idx="35">
                  <c:v>2006</c:v>
                </c:pt>
                <c:pt idx="36">
                  <c:v>2007</c:v>
                </c:pt>
                <c:pt idx="37">
                  <c:v>2008</c:v>
                </c:pt>
                <c:pt idx="38">
                  <c:v>2009</c:v>
                </c:pt>
                <c:pt idx="39">
                  <c:v>2010</c:v>
                </c:pt>
                <c:pt idx="40">
                  <c:v>2011</c:v>
                </c:pt>
                <c:pt idx="41">
                  <c:v>2012</c:v>
                </c:pt>
                <c:pt idx="42">
                  <c:v>2013</c:v>
                </c:pt>
                <c:pt idx="43">
                  <c:v>2014</c:v>
                </c:pt>
                <c:pt idx="44">
                  <c:v>2015</c:v>
                </c:pt>
                <c:pt idx="45">
                  <c:v>2016</c:v>
                </c:pt>
                <c:pt idx="46">
                  <c:v>2017</c:v>
                </c:pt>
                <c:pt idx="47">
                  <c:v>2018</c:v>
                </c:pt>
                <c:pt idx="48">
                  <c:v>2019</c:v>
                </c:pt>
                <c:pt idx="49">
                  <c:v>2020</c:v>
                </c:pt>
                <c:pt idx="50">
                  <c:v>2021</c:v>
                </c:pt>
                <c:pt idx="51">
                  <c:v>2022</c:v>
                </c:pt>
                <c:pt idx="52">
                  <c:v>2023</c:v>
                </c:pt>
                <c:pt idx="53">
                  <c:v>2024</c:v>
                </c:pt>
                <c:pt idx="54">
                  <c:v>2025</c:v>
                </c:pt>
                <c:pt idx="55">
                  <c:v>2026</c:v>
                </c:pt>
              </c:numCache>
            </c:numRef>
          </c:cat>
          <c:val>
            <c:numRef>
              <c:f>'Chart Data'!$B$5:$B$60</c:f>
              <c:numCache>
                <c:formatCode>General</c:formatCode>
                <c:ptCount val="56"/>
                <c:pt idx="0">
                  <c:v>0.01146801559164077</c:v>
                </c:pt>
                <c:pt idx="1">
                  <c:v>0.396684750114415</c:v>
                </c:pt>
                <c:pt idx="2">
                  <c:v>0.5437143928117909</c:v>
                </c:pt>
                <c:pt idx="3">
                  <c:v>0.5085969622685285</c:v>
                </c:pt>
                <c:pt idx="4">
                  <c:v>-0.285631521205035</c:v>
                </c:pt>
                <c:pt idx="5">
                  <c:v>-0.04071809301878491</c:v>
                </c:pt>
                <c:pt idx="6">
                  <c:v>0.2022818104795439</c:v>
                </c:pt>
                <c:pt idx="7">
                  <c:v>0.3148319790036361</c:v>
                </c:pt>
                <c:pt idx="8">
                  <c:v>0.8177896257672219</c:v>
                </c:pt>
                <c:pt idx="9">
                  <c:v>0.1349951645375039</c:v>
                </c:pt>
                <c:pt idx="10">
                  <c:v>-0.3793583622704422</c:v>
                </c:pt>
                <c:pt idx="11">
                  <c:v>0.1305029023963603</c:v>
                </c:pt>
                <c:pt idx="12">
                  <c:v>-0.1803534789784184</c:v>
                </c:pt>
                <c:pt idx="13">
                  <c:v>-0.2130381645513981</c:v>
                </c:pt>
                <c:pt idx="14">
                  <c:v>0.06711046390457096</c:v>
                </c:pt>
                <c:pt idx="15">
                  <c:v>0.1684503936143573</c:v>
                </c:pt>
                <c:pt idx="16">
                  <c:v>0.219266184768542</c:v>
                </c:pt>
                <c:pt idx="17">
                  <c:v>-0.1712317257868549</c:v>
                </c:pt>
                <c:pt idx="18">
                  <c:v>-0.01560787516059155</c:v>
                </c:pt>
                <c:pt idx="19">
                  <c:v>-0.0252505156438754</c:v>
                </c:pt>
                <c:pt idx="20">
                  <c:v>-0.103666164491362</c:v>
                </c:pt>
                <c:pt idx="21">
                  <c:v>-0.06155090853448858</c:v>
                </c:pt>
                <c:pt idx="22">
                  <c:v>0.1594754304581759</c:v>
                </c:pt>
                <c:pt idx="23">
                  <c:v>-0.02042496294138991</c:v>
                </c:pt>
                <c:pt idx="24">
                  <c:v>0.01103979289219289</c:v>
                </c:pt>
                <c:pt idx="25">
                  <c:v>-0.05046454415225032</c:v>
                </c:pt>
                <c:pt idx="26">
                  <c:v>-0.2416192634937044</c:v>
                </c:pt>
                <c:pt idx="27">
                  <c:v>-0.002770832457263825</c:v>
                </c:pt>
                <c:pt idx="28">
                  <c:v>-5.828670879282072e-16</c:v>
                </c:pt>
                <c:pt idx="29">
                  <c:v>-0.05655695198107497</c:v>
                </c:pt>
                <c:pt idx="30">
                  <c:v>0.02376134712344142</c:v>
                </c:pt>
                <c:pt idx="31">
                  <c:v>0.2182922256553221</c:v>
                </c:pt>
                <c:pt idx="32">
                  <c:v>0.1790737330844149</c:v>
                </c:pt>
                <c:pt idx="33">
                  <c:v>0.05484726719408914</c:v>
                </c:pt>
                <c:pt idx="34">
                  <c:v>0.1659567697619246</c:v>
                </c:pt>
                <c:pt idx="35">
                  <c:v>0.2072527704724826</c:v>
                </c:pt>
                <c:pt idx="36">
                  <c:v>0.2692982305777119</c:v>
                </c:pt>
                <c:pt idx="37">
                  <c:v>0.054395603339507</c:v>
                </c:pt>
                <c:pt idx="38">
                  <c:v>0.2194557782350247</c:v>
                </c:pt>
                <c:pt idx="39">
                  <c:v>0.2598278237485622</c:v>
                </c:pt>
                <c:pt idx="40">
                  <c:v>0.09576096220714786</c:v>
                </c:pt>
                <c:pt idx="41">
                  <c:v>0.06834487449963211</c:v>
                </c:pt>
                <c:pt idx="42">
                  <c:v>-0.3288474197405186</c:v>
                </c:pt>
                <c:pt idx="43">
                  <c:v>-0.01807958850431694</c:v>
                </c:pt>
                <c:pt idx="44">
                  <c:v>-0.109366445269084</c:v>
                </c:pt>
                <c:pt idx="45">
                  <c:v>0.0818751440388113</c:v>
                </c:pt>
                <c:pt idx="46">
                  <c:v>0.1229588770144127</c:v>
                </c:pt>
                <c:pt idx="47">
                  <c:v>-0.01526310201428289</c:v>
                </c:pt>
                <c:pt idx="48">
                  <c:v>0.1679342691961107</c:v>
                </c:pt>
                <c:pt idx="49">
                  <c:v>0.2234246515182655</c:v>
                </c:pt>
                <c:pt idx="50">
                  <c:v>-0.03677226289822444</c:v>
                </c:pt>
                <c:pt idx="51">
                  <c:v>-0.002231847466038994</c:v>
                </c:pt>
                <c:pt idx="52">
                  <c:v>0.122646269341518</c:v>
                </c:pt>
                <c:pt idx="53">
                  <c:v>0.2408780744260434</c:v>
                </c:pt>
                <c:pt idx="54">
                  <c:v>0.4971791750429672</c:v>
                </c:pt>
                <c:pt idx="55">
                  <c:v>0.1400109663466505</c:v>
                </c:pt>
              </c:numCache>
            </c:numRef>
          </c:val>
        </c:ser>
        <c:ser>
          <c:idx val="1"/>
          <c:order val="1"/>
          <c:tx>
            <c:v>S&amp;P 500 Annual Return</c:v>
          </c:tx>
          <c:spPr>
            <a:solidFill>
              <a:srgbClr val="2E5090"/>
            </a:solidFill>
          </c:spPr>
          <c:cat>
            <c:numRef>
              <c:f>'Chart Data'!$A$5:$A$60</c:f>
              <c:numCache>
                <c:formatCode>General</c:formatCode>
                <c:ptCount val="56"/>
                <c:pt idx="0">
                  <c:v>1971</c:v>
                </c:pt>
                <c:pt idx="1">
                  <c:v>1972</c:v>
                </c:pt>
                <c:pt idx="2">
                  <c:v>1973</c:v>
                </c:pt>
                <c:pt idx="3">
                  <c:v>1974</c:v>
                </c:pt>
                <c:pt idx="4">
                  <c:v>1975</c:v>
                </c:pt>
                <c:pt idx="5">
                  <c:v>1976</c:v>
                </c:pt>
                <c:pt idx="6">
                  <c:v>1977</c:v>
                </c:pt>
                <c:pt idx="7">
                  <c:v>1978</c:v>
                </c:pt>
                <c:pt idx="8">
                  <c:v>1979</c:v>
                </c:pt>
                <c:pt idx="9">
                  <c:v>1980</c:v>
                </c:pt>
                <c:pt idx="10">
                  <c:v>1981</c:v>
                </c:pt>
                <c:pt idx="11">
                  <c:v>1982</c:v>
                </c:pt>
                <c:pt idx="12">
                  <c:v>1983</c:v>
                </c:pt>
                <c:pt idx="13">
                  <c:v>1984</c:v>
                </c:pt>
                <c:pt idx="14">
                  <c:v>1985</c:v>
                </c:pt>
                <c:pt idx="15">
                  <c:v>1986</c:v>
                </c:pt>
                <c:pt idx="16">
                  <c:v>1987</c:v>
                </c:pt>
                <c:pt idx="17">
                  <c:v>1988</c:v>
                </c:pt>
                <c:pt idx="18">
                  <c:v>1989</c:v>
                </c:pt>
                <c:pt idx="19">
                  <c:v>1990</c:v>
                </c:pt>
                <c:pt idx="20">
                  <c:v>1991</c:v>
                </c:pt>
                <c:pt idx="21">
                  <c:v>1992</c:v>
                </c:pt>
                <c:pt idx="22">
                  <c:v>1993</c:v>
                </c:pt>
                <c:pt idx="23">
                  <c:v>1994</c:v>
                </c:pt>
                <c:pt idx="24">
                  <c:v>1995</c:v>
                </c:pt>
                <c:pt idx="25">
                  <c:v>1996</c:v>
                </c:pt>
                <c:pt idx="26">
                  <c:v>1997</c:v>
                </c:pt>
                <c:pt idx="27">
                  <c:v>1998</c:v>
                </c:pt>
                <c:pt idx="28">
                  <c:v>1999</c:v>
                </c:pt>
                <c:pt idx="29">
                  <c:v>2000</c:v>
                </c:pt>
                <c:pt idx="30">
                  <c:v>2001</c:v>
                </c:pt>
                <c:pt idx="31">
                  <c:v>2002</c:v>
                </c:pt>
                <c:pt idx="32">
                  <c:v>2003</c:v>
                </c:pt>
                <c:pt idx="33">
                  <c:v>2004</c:v>
                </c:pt>
                <c:pt idx="34">
                  <c:v>2005</c:v>
                </c:pt>
                <c:pt idx="35">
                  <c:v>2006</c:v>
                </c:pt>
                <c:pt idx="36">
                  <c:v>2007</c:v>
                </c:pt>
                <c:pt idx="37">
                  <c:v>2008</c:v>
                </c:pt>
                <c:pt idx="38">
                  <c:v>2009</c:v>
                </c:pt>
                <c:pt idx="39">
                  <c:v>2010</c:v>
                </c:pt>
                <c:pt idx="40">
                  <c:v>2011</c:v>
                </c:pt>
                <c:pt idx="41">
                  <c:v>2012</c:v>
                </c:pt>
                <c:pt idx="42">
                  <c:v>2013</c:v>
                </c:pt>
                <c:pt idx="43">
                  <c:v>2014</c:v>
                </c:pt>
                <c:pt idx="44">
                  <c:v>2015</c:v>
                </c:pt>
                <c:pt idx="45">
                  <c:v>2016</c:v>
                </c:pt>
                <c:pt idx="46">
                  <c:v>2017</c:v>
                </c:pt>
                <c:pt idx="47">
                  <c:v>2018</c:v>
                </c:pt>
                <c:pt idx="48">
                  <c:v>2019</c:v>
                </c:pt>
                <c:pt idx="49">
                  <c:v>2020</c:v>
                </c:pt>
                <c:pt idx="50">
                  <c:v>2021</c:v>
                </c:pt>
                <c:pt idx="51">
                  <c:v>2022</c:v>
                </c:pt>
                <c:pt idx="52">
                  <c:v>2023</c:v>
                </c:pt>
                <c:pt idx="53">
                  <c:v>2024</c:v>
                </c:pt>
                <c:pt idx="54">
                  <c:v>2025</c:v>
                </c:pt>
                <c:pt idx="55">
                  <c:v>2026</c:v>
                </c:pt>
              </c:numCache>
            </c:numRef>
          </c:cat>
          <c:val>
            <c:numRef>
              <c:f>'Chart Data'!$C$5:$C$60</c:f>
              <c:numCache>
                <c:formatCode>General</c:formatCode>
                <c:ptCount val="56"/>
                <c:pt idx="0">
                  <c:v>0.06474097738975186</c:v>
                </c:pt>
                <c:pt idx="1">
                  <c:v>0.1452534863505988</c:v>
                </c:pt>
                <c:pt idx="2">
                  <c:v>-0.1907431964624012</c:v>
                </c:pt>
                <c:pt idx="3">
                  <c:v>-0.3526557927795956</c:v>
                </c:pt>
                <c:pt idx="4">
                  <c:v>0.274209281888091</c:v>
                </c:pt>
                <c:pt idx="5">
                  <c:v>0.1752001291230585</c:v>
                </c:pt>
                <c:pt idx="6">
                  <c:v>-0.12218971574933</c:v>
                </c:pt>
                <c:pt idx="7">
                  <c:v>0.01056439928384838</c:v>
                </c:pt>
                <c:pt idx="8">
                  <c:v>0.1160821483553048</c:v>
                </c:pt>
                <c:pt idx="9">
                  <c:v>0.229313103735475</c:v>
                </c:pt>
                <c:pt idx="10">
                  <c:v>-0.1023695109518503</c:v>
                </c:pt>
                <c:pt idx="11">
                  <c:v>0.1376843239627451</c:v>
                </c:pt>
                <c:pt idx="12">
                  <c:v>0.159317707523193</c:v>
                </c:pt>
                <c:pt idx="13">
                  <c:v>0.013908765028303</c:v>
                </c:pt>
                <c:pt idx="14">
                  <c:v>0.2337543615005119</c:v>
                </c:pt>
                <c:pt idx="15">
                  <c:v>0.1364556908835331</c:v>
                </c:pt>
                <c:pt idx="16">
                  <c:v>0.02007221195528872</c:v>
                </c:pt>
                <c:pt idx="17">
                  <c:v>0.1169012410573724</c:v>
                </c:pt>
                <c:pt idx="18">
                  <c:v>0.2409871480005225</c:v>
                </c:pt>
                <c:pt idx="19">
                  <c:v>-0.06784146088191093</c:v>
                </c:pt>
                <c:pt idx="20">
                  <c:v>0.2335429268458769</c:v>
                </c:pt>
                <c:pt idx="21">
                  <c:v>0.04367485858263533</c:v>
                </c:pt>
                <c:pt idx="22">
                  <c:v>0.06817394897477524</c:v>
                </c:pt>
                <c:pt idx="23">
                  <c:v>-0.01551256099487144</c:v>
                </c:pt>
                <c:pt idx="24">
                  <c:v>0.2934950483006818</c:v>
                </c:pt>
                <c:pt idx="25">
                  <c:v>0.1845163658185165</c:v>
                </c:pt>
                <c:pt idx="26">
                  <c:v>0.2700895857072414</c:v>
                </c:pt>
                <c:pt idx="27">
                  <c:v>0.2364039638377648</c:v>
                </c:pt>
                <c:pt idx="28">
                  <c:v>0.1783641094164546</c:v>
                </c:pt>
                <c:pt idx="29">
                  <c:v>-0.106908231194745</c:v>
                </c:pt>
                <c:pt idx="30">
                  <c:v>-0.1397528534353382</c:v>
                </c:pt>
                <c:pt idx="31">
                  <c:v>-0.2661289197672447</c:v>
                </c:pt>
                <c:pt idx="32">
                  <c:v>0.2341261886810697</c:v>
                </c:pt>
                <c:pt idx="33">
                  <c:v>0.08611762807356613</c:v>
                </c:pt>
                <c:pt idx="34">
                  <c:v>0.02956873588003305</c:v>
                </c:pt>
                <c:pt idx="35">
                  <c:v>0.127684356570462</c:v>
                </c:pt>
                <c:pt idx="36">
                  <c:v>0.03468035007498689</c:v>
                </c:pt>
                <c:pt idx="37">
                  <c:v>-0.4858952303477984</c:v>
                </c:pt>
                <c:pt idx="38">
                  <c:v>0.2106999959435686</c:v>
                </c:pt>
                <c:pt idx="39">
                  <c:v>0.1202928618135819</c:v>
                </c:pt>
                <c:pt idx="40">
                  <c:v>-3.180610995528327e-05</c:v>
                </c:pt>
                <c:pt idx="41">
                  <c:v>0.1258014102553586</c:v>
                </c:pt>
                <c:pt idx="42">
                  <c:v>0.2592922064940666</c:v>
                </c:pt>
                <c:pt idx="43">
                  <c:v>0.1078731001583322</c:v>
                </c:pt>
                <c:pt idx="44">
                  <c:v>-0.007292541897383382</c:v>
                </c:pt>
                <c:pt idx="45">
                  <c:v>0.09107409027784469</c:v>
                </c:pt>
                <c:pt idx="46">
                  <c:v>0.1774762111462598</c:v>
                </c:pt>
                <c:pt idx="47">
                  <c:v>-0.06440263421024578</c:v>
                </c:pt>
                <c:pt idx="48">
                  <c:v>0.2536966092325736</c:v>
                </c:pt>
                <c:pt idx="49">
                  <c:v>0.1506496038704534</c:v>
                </c:pt>
                <c:pt idx="50">
                  <c:v>0.2381719474632457</c:v>
                </c:pt>
                <c:pt idx="51">
                  <c:v>-0.2162029956948462</c:v>
                </c:pt>
                <c:pt idx="52">
                  <c:v>0.2169685150636922</c:v>
                </c:pt>
                <c:pt idx="53">
                  <c:v>0.2095232695268979</c:v>
                </c:pt>
                <c:pt idx="54">
                  <c:v>0.1517575677126213</c:v>
                </c:pt>
                <c:pt idx="55">
                  <c:v>0.005422420561027985</c:v>
                </c:pt>
              </c:numCache>
            </c:numRef>
          </c:val>
        </c:ser>
        <c:axId val="50030001"/>
        <c:axId val="50030002"/>
      </c:barChart>
      <c:catAx>
        <c:axId val="50030001"/>
        <c:scaling>
          <c:orientation val="minMax"/>
        </c:scaling>
        <c:axPos val="b"/>
        <c:title>
          <c:tx>
            <c:rich>
              <a:bodyPr/>
              <a:lstStyle/>
              <a:p>
                <a:pPr>
                  <a:defRPr/>
                </a:pPr>
                <a:r>
                  <a:rPr lang="en-US"/>
                  <a:t>Year</a:t>
                </a:r>
              </a:p>
            </c:rich>
          </c:tx>
          <c:layout/>
        </c:title>
        <c:numFmt formatCode="General" sourceLinked="1"/>
        <c:tickLblPos val="nextTo"/>
        <c:txPr>
          <a:bodyPr rot="-2700000" vert="horz"/>
          <a:lstStyle/>
          <a:p>
            <a:pPr>
              <a:defRPr sz="800" baseline="0"/>
            </a:pPr>
            <a:endParaRPr lang="en-US"/>
          </a:p>
        </c:txPr>
        <c:crossAx val="50030002"/>
        <c:crosses val="autoZero"/>
        <c:auto val="1"/>
        <c:lblAlgn val="ctr"/>
        <c:lblOffset val="100"/>
      </c:catAx>
      <c:valAx>
        <c:axId val="50030002"/>
        <c:scaling>
          <c:orientation val="minMax"/>
        </c:scaling>
        <c:axPos val="l"/>
        <c:majorGridlines/>
        <c:title>
          <c:tx>
            <c:rich>
              <a:bodyPr/>
              <a:lstStyle/>
              <a:p>
                <a:pPr>
                  <a:defRPr/>
                </a:pPr>
                <a:r>
                  <a:rPr lang="en-US"/>
                  <a:t>Log Return</a:t>
                </a:r>
              </a:p>
            </c:rich>
          </c:tx>
          <c:layout/>
        </c:title>
        <c:numFmt formatCode="0%" sourceLinked="0"/>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Volatility Ratio: Gold / S&amp;P 500 (&gt;1 = Gold More Volatile)</a:t>
            </a:r>
          </a:p>
        </c:rich>
      </c:tx>
      <c:layout/>
    </c:title>
    <c:plotArea>
      <c:layout/>
      <c:barChart>
        <c:barDir val="col"/>
        <c:grouping val="clustered"/>
        <c:ser>
          <c:idx val="0"/>
          <c:order val="0"/>
          <c:tx>
            <c:v>Vol Ratio (Gold/SP500)</c:v>
          </c:tx>
          <c:spPr>
            <a:solidFill>
              <a:srgbClr val="8B4513"/>
            </a:solidFill>
          </c:spPr>
          <c:cat>
            <c:numRef>
              <c:f>'Chart Data'!$A$5:$A$60</c:f>
              <c:numCache>
                <c:formatCode>General</c:formatCode>
                <c:ptCount val="56"/>
                <c:pt idx="0">
                  <c:v>1971</c:v>
                </c:pt>
                <c:pt idx="1">
                  <c:v>1972</c:v>
                </c:pt>
                <c:pt idx="2">
                  <c:v>1973</c:v>
                </c:pt>
                <c:pt idx="3">
                  <c:v>1974</c:v>
                </c:pt>
                <c:pt idx="4">
                  <c:v>1975</c:v>
                </c:pt>
                <c:pt idx="5">
                  <c:v>1976</c:v>
                </c:pt>
                <c:pt idx="6">
                  <c:v>1977</c:v>
                </c:pt>
                <c:pt idx="7">
                  <c:v>1978</c:v>
                </c:pt>
                <c:pt idx="8">
                  <c:v>1979</c:v>
                </c:pt>
                <c:pt idx="9">
                  <c:v>1980</c:v>
                </c:pt>
                <c:pt idx="10">
                  <c:v>1981</c:v>
                </c:pt>
                <c:pt idx="11">
                  <c:v>1982</c:v>
                </c:pt>
                <c:pt idx="12">
                  <c:v>1983</c:v>
                </c:pt>
                <c:pt idx="13">
                  <c:v>1984</c:v>
                </c:pt>
                <c:pt idx="14">
                  <c:v>1985</c:v>
                </c:pt>
                <c:pt idx="15">
                  <c:v>1986</c:v>
                </c:pt>
                <c:pt idx="16">
                  <c:v>1987</c:v>
                </c:pt>
                <c:pt idx="17">
                  <c:v>1988</c:v>
                </c:pt>
                <c:pt idx="18">
                  <c:v>1989</c:v>
                </c:pt>
                <c:pt idx="19">
                  <c:v>1990</c:v>
                </c:pt>
                <c:pt idx="20">
                  <c:v>1991</c:v>
                </c:pt>
                <c:pt idx="21">
                  <c:v>1992</c:v>
                </c:pt>
                <c:pt idx="22">
                  <c:v>1993</c:v>
                </c:pt>
                <c:pt idx="23">
                  <c:v>1994</c:v>
                </c:pt>
                <c:pt idx="24">
                  <c:v>1995</c:v>
                </c:pt>
                <c:pt idx="25">
                  <c:v>1996</c:v>
                </c:pt>
                <c:pt idx="26">
                  <c:v>1997</c:v>
                </c:pt>
                <c:pt idx="27">
                  <c:v>1998</c:v>
                </c:pt>
                <c:pt idx="28">
                  <c:v>1999</c:v>
                </c:pt>
                <c:pt idx="29">
                  <c:v>2000</c:v>
                </c:pt>
                <c:pt idx="30">
                  <c:v>2001</c:v>
                </c:pt>
                <c:pt idx="31">
                  <c:v>2002</c:v>
                </c:pt>
                <c:pt idx="32">
                  <c:v>2003</c:v>
                </c:pt>
                <c:pt idx="33">
                  <c:v>2004</c:v>
                </c:pt>
                <c:pt idx="34">
                  <c:v>2005</c:v>
                </c:pt>
                <c:pt idx="35">
                  <c:v>2006</c:v>
                </c:pt>
                <c:pt idx="36">
                  <c:v>2007</c:v>
                </c:pt>
                <c:pt idx="37">
                  <c:v>2008</c:v>
                </c:pt>
                <c:pt idx="38">
                  <c:v>2009</c:v>
                </c:pt>
                <c:pt idx="39">
                  <c:v>2010</c:v>
                </c:pt>
                <c:pt idx="40">
                  <c:v>2011</c:v>
                </c:pt>
                <c:pt idx="41">
                  <c:v>2012</c:v>
                </c:pt>
                <c:pt idx="42">
                  <c:v>2013</c:v>
                </c:pt>
                <c:pt idx="43">
                  <c:v>2014</c:v>
                </c:pt>
                <c:pt idx="44">
                  <c:v>2015</c:v>
                </c:pt>
                <c:pt idx="45">
                  <c:v>2016</c:v>
                </c:pt>
                <c:pt idx="46">
                  <c:v>2017</c:v>
                </c:pt>
                <c:pt idx="47">
                  <c:v>2018</c:v>
                </c:pt>
                <c:pt idx="48">
                  <c:v>2019</c:v>
                </c:pt>
                <c:pt idx="49">
                  <c:v>2020</c:v>
                </c:pt>
                <c:pt idx="50">
                  <c:v>2021</c:v>
                </c:pt>
                <c:pt idx="51">
                  <c:v>2022</c:v>
                </c:pt>
                <c:pt idx="52">
                  <c:v>2023</c:v>
                </c:pt>
                <c:pt idx="53">
                  <c:v>2024</c:v>
                </c:pt>
                <c:pt idx="54">
                  <c:v>2025</c:v>
                </c:pt>
                <c:pt idx="55">
                  <c:v>2026</c:v>
                </c:pt>
              </c:numCache>
            </c:numRef>
          </c:cat>
          <c:val>
            <c:numRef>
              <c:f>'Chart Data'!$G$5:$G$60</c:f>
              <c:numCache>
                <c:formatCode>General</c:formatCode>
                <c:ptCount val="56"/>
                <c:pt idx="0">
                  <c:v>0.7327224963727129</c:v>
                </c:pt>
                <c:pt idx="1">
                  <c:v>2.17832734368322</c:v>
                </c:pt>
                <c:pt idx="2">
                  <c:v>2.181629162093144</c:v>
                </c:pt>
                <c:pt idx="3">
                  <c:v>1.472207193271988</c:v>
                </c:pt>
                <c:pt idx="4">
                  <c:v>1.364134044591845</c:v>
                </c:pt>
                <c:pt idx="5">
                  <c:v>1.935032884569749</c:v>
                </c:pt>
                <c:pt idx="6">
                  <c:v>1.478078105317841</c:v>
                </c:pt>
                <c:pt idx="7">
                  <c:v>1.713594388486379</c:v>
                </c:pt>
                <c:pt idx="8">
                  <c:v>2.577654734244467</c:v>
                </c:pt>
                <c:pt idx="9">
                  <c:v>3.01219443925708</c:v>
                </c:pt>
                <c:pt idx="10">
                  <c:v>2.151454344192345</c:v>
                </c:pt>
                <c:pt idx="11">
                  <c:v>1.864330784652105</c:v>
                </c:pt>
                <c:pt idx="12">
                  <c:v>1.904572095492392</c:v>
                </c:pt>
                <c:pt idx="13">
                  <c:v>1.259429425368274</c:v>
                </c:pt>
                <c:pt idx="14">
                  <c:v>1.689817345944679</c:v>
                </c:pt>
                <c:pt idx="15">
                  <c:v>1.271693871114932</c:v>
                </c:pt>
                <c:pt idx="16">
                  <c:v>0.4637796652959407</c:v>
                </c:pt>
                <c:pt idx="17">
                  <c:v>0.738116325454685</c:v>
                </c:pt>
                <c:pt idx="18">
                  <c:v>1.011914606504172</c:v>
                </c:pt>
                <c:pt idx="19">
                  <c:v>1.079828866659623</c:v>
                </c:pt>
                <c:pt idx="20">
                  <c:v>0.863627272919981</c:v>
                </c:pt>
                <c:pt idx="21">
                  <c:v>0.8180921593872778</c:v>
                </c:pt>
                <c:pt idx="22">
                  <c:v>1.670609357234716</c:v>
                </c:pt>
                <c:pt idx="23">
                  <c:v>0.9208484724750329</c:v>
                </c:pt>
                <c:pt idx="24">
                  <c:v>0.8214474734006527</c:v>
                </c:pt>
                <c:pt idx="25">
                  <c:v>0.5030003695299182</c:v>
                </c:pt>
                <c:pt idx="26">
                  <c:v>0.6675745915078865</c:v>
                </c:pt>
                <c:pt idx="27">
                  <c:v>0.6319266032399091</c:v>
                </c:pt>
                <c:pt idx="28">
                  <c:v>0.9395469156283957</c:v>
                </c:pt>
                <c:pt idx="29">
                  <c:v>0.7287447937325472</c:v>
                </c:pt>
                <c:pt idx="30">
                  <c:v>0.6842288250076879</c:v>
                </c:pt>
                <c:pt idx="31">
                  <c:v>0.5077982733997375</c:v>
                </c:pt>
                <c:pt idx="32">
                  <c:v>0.9951915326654943</c:v>
                </c:pt>
                <c:pt idx="33">
                  <c:v>1.383764239160014</c:v>
                </c:pt>
                <c:pt idx="34">
                  <c:v>1.22275319414062</c:v>
                </c:pt>
                <c:pt idx="35">
                  <c:v>2.381784963070363</c:v>
                </c:pt>
                <c:pt idx="36">
                  <c:v>1.056502386235256</c:v>
                </c:pt>
                <c:pt idx="37">
                  <c:v>0.7675175253363589</c:v>
                </c:pt>
                <c:pt idx="38">
                  <c:v>0.7494645256752118</c:v>
                </c:pt>
                <c:pt idx="39">
                  <c:v>0.8845508622718659</c:v>
                </c:pt>
                <c:pt idx="40">
                  <c:v>0.8740483430029291</c:v>
                </c:pt>
                <c:pt idx="41">
                  <c:v>1.183998775208614</c:v>
                </c:pt>
                <c:pt idx="42">
                  <c:v>1.967164896399181</c:v>
                </c:pt>
                <c:pt idx="43">
                  <c:v>1.276818541141164</c:v>
                </c:pt>
                <c:pt idx="44">
                  <c:v>0.8939800398934876</c:v>
                </c:pt>
                <c:pt idx="45">
                  <c:v>1.211239892903306</c:v>
                </c:pt>
                <c:pt idx="46">
                  <c:v>1.505994094314382</c:v>
                </c:pt>
                <c:pt idx="47">
                  <c:v>0.5807351374485544</c:v>
                </c:pt>
                <c:pt idx="48">
                  <c:v>0.9170647144306197</c:v>
                </c:pt>
                <c:pt idx="49">
                  <c:v>0.5557065600183738</c:v>
                </c:pt>
                <c:pt idx="50">
                  <c:v>1.034118798461372</c:v>
                </c:pt>
                <c:pt idx="51">
                  <c:v>0.627239881101635</c:v>
                </c:pt>
                <c:pt idx="52">
                  <c:v>1.035218003394169</c:v>
                </c:pt>
                <c:pt idx="53">
                  <c:v>1.199623920244205</c:v>
                </c:pt>
                <c:pt idx="54">
                  <c:v>1.038516202083402</c:v>
                </c:pt>
                <c:pt idx="55">
                  <c:v>4.625230261315246</c:v>
                </c:pt>
              </c:numCache>
            </c:numRef>
          </c:val>
        </c:ser>
        <c:axId val="50040001"/>
        <c:axId val="50040002"/>
      </c:barChart>
      <c:catAx>
        <c:axId val="50040001"/>
        <c:scaling>
          <c:orientation val="minMax"/>
        </c:scaling>
        <c:axPos val="b"/>
        <c:title>
          <c:tx>
            <c:rich>
              <a:bodyPr/>
              <a:lstStyle/>
              <a:p>
                <a:pPr>
                  <a:defRPr/>
                </a:pPr>
                <a:r>
                  <a:rPr lang="en-US"/>
                  <a:t>Year</a:t>
                </a:r>
              </a:p>
            </c:rich>
          </c:tx>
          <c:layout/>
        </c:title>
        <c:numFmt formatCode="General" sourceLinked="1"/>
        <c:tickLblPos val="nextTo"/>
        <c:txPr>
          <a:bodyPr rot="-2700000" vert="horz"/>
          <a:lstStyle/>
          <a:p>
            <a:pPr>
              <a:defRPr sz="800" baseline="0"/>
            </a:pPr>
            <a:endParaRPr lang="en-US"/>
          </a:p>
        </c:txPr>
        <c:crossAx val="50040002"/>
        <c:crosses val="autoZero"/>
        <c:auto val="1"/>
        <c:lblAlgn val="ctr"/>
        <c:lblOffset val="100"/>
      </c:catAx>
      <c:valAx>
        <c:axId val="50040002"/>
        <c:scaling>
          <c:orientation val="minMax"/>
        </c:scaling>
        <c:axPos val="l"/>
        <c:majorGridlines/>
        <c:title>
          <c:tx>
            <c:rich>
              <a:bodyPr/>
              <a:lstStyle/>
              <a:p>
                <a:pPr>
                  <a:defRPr/>
                </a:pPr>
                <a:r>
                  <a:rPr lang="en-US"/>
                  <a:t>Ratio</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62</xdr:row>
      <xdr:rowOff>0</xdr:rowOff>
    </xdr:from>
    <xdr:to>
      <xdr:col>8</xdr:col>
      <xdr:colOff>190500</xdr:colOff>
      <xdr:row>82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83</xdr:row>
      <xdr:rowOff>0</xdr:rowOff>
    </xdr:from>
    <xdr:to>
      <xdr:col>8</xdr:col>
      <xdr:colOff>190500</xdr:colOff>
      <xdr:row>103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104</xdr:row>
      <xdr:rowOff>0</xdr:rowOff>
    </xdr:from>
    <xdr:to>
      <xdr:col>8</xdr:col>
      <xdr:colOff>190500</xdr:colOff>
      <xdr:row>124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125</xdr:row>
      <xdr:rowOff>0</xdr:rowOff>
    </xdr:from>
    <xdr:to>
      <xdr:col>8</xdr:col>
      <xdr:colOff>190500</xdr:colOff>
      <xdr:row>145</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4:B25"/>
  <sheetViews>
    <sheetView showGridLines="0" tabSelected="1" workbookViewId="0"/>
  </sheetViews>
  <sheetFormatPr defaultRowHeight="15"/>
  <cols>
    <col min="1" max="1" width="3.7109375" customWidth="1"/>
    <col min="2" max="2" width="100.7109375" customWidth="1"/>
  </cols>
  <sheetData>
    <row r="4" spans="2:2">
      <c r="B4" s="1" t="s">
        <v>0</v>
      </c>
    </row>
    <row r="6" spans="2:2">
      <c r="B6" s="2" t="s">
        <v>1</v>
      </c>
    </row>
    <row r="7" spans="2:2" ht="80" customHeight="1">
      <c r="B7" s="3" t="s">
        <v>2</v>
      </c>
    </row>
    <row r="9" spans="2:2">
      <c r="B9" s="2" t="s">
        <v>3</v>
      </c>
    </row>
    <row r="10" spans="2:2" ht="60" customHeight="1">
      <c r="B10" s="4" t="s">
        <v>4</v>
      </c>
    </row>
    <row r="12" spans="2:2">
      <c r="B12" s="2" t="s">
        <v>5</v>
      </c>
    </row>
    <row r="13" spans="2:2" ht="50" customHeight="1">
      <c r="B13" s="3" t="s">
        <v>6</v>
      </c>
    </row>
    <row r="14" spans="2:2" ht="50" customHeight="1">
      <c r="B14" s="3" t="s">
        <v>7</v>
      </c>
    </row>
    <row r="15" spans="2:2" ht="50" customHeight="1">
      <c r="B15" s="3" t="s">
        <v>8</v>
      </c>
    </row>
    <row r="16" spans="2:2" ht="50" customHeight="1">
      <c r="B16" s="3" t="s">
        <v>9</v>
      </c>
    </row>
    <row r="17" spans="2:2" ht="50" customHeight="1">
      <c r="B17" s="3" t="s">
        <v>10</v>
      </c>
    </row>
    <row r="19" spans="2:2">
      <c r="B19" s="2" t="s">
        <v>11</v>
      </c>
    </row>
    <row r="20" spans="2:2" ht="80" customHeight="1">
      <c r="B20" s="3" t="s">
        <v>12</v>
      </c>
    </row>
    <row r="22" spans="2:2">
      <c r="B22" s="2" t="s">
        <v>13</v>
      </c>
    </row>
    <row r="23" spans="2:2" ht="80" customHeight="1">
      <c r="B23" s="3" t="s">
        <v>14</v>
      </c>
    </row>
    <row r="25" spans="2:2">
      <c r="B2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9"/>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6.7109375" customWidth="1"/>
    <col min="2" max="2" width="5.7109375" customWidth="1"/>
    <col min="3" max="4" width="12.7109375" customWidth="1"/>
    <col min="5" max="6" width="10.7109375" customWidth="1"/>
    <col min="7" max="8" width="13.7109375" customWidth="1"/>
    <col min="9" max="9" width="12.7109375" customWidth="1"/>
    <col min="10" max="16" width="10.7109375" customWidth="1"/>
  </cols>
  <sheetData>
    <row r="1" spans="1:16">
      <c r="A1" s="6" t="s">
        <v>16</v>
      </c>
      <c r="B1" s="6"/>
      <c r="C1" s="6"/>
      <c r="D1" s="6"/>
      <c r="E1" s="6"/>
      <c r="F1" s="6"/>
      <c r="G1" s="6"/>
      <c r="H1" s="6"/>
      <c r="I1" s="6"/>
      <c r="J1" s="6"/>
      <c r="K1" s="6"/>
      <c r="L1" s="6"/>
      <c r="M1" s="6"/>
      <c r="N1" s="6"/>
      <c r="O1" s="6"/>
      <c r="P1" s="6"/>
    </row>
    <row r="3" spans="1:16" ht="35" customHeight="1">
      <c r="A3" s="7" t="s">
        <v>17</v>
      </c>
      <c r="B3" s="7" t="s">
        <v>18</v>
      </c>
      <c r="C3" s="8" t="s">
        <v>19</v>
      </c>
      <c r="D3" s="9" t="s">
        <v>20</v>
      </c>
      <c r="E3" s="8" t="s">
        <v>21</v>
      </c>
      <c r="F3" s="9" t="s">
        <v>22</v>
      </c>
      <c r="G3" s="8" t="s">
        <v>23</v>
      </c>
      <c r="H3" s="9" t="s">
        <v>24</v>
      </c>
      <c r="I3" s="7" t="s">
        <v>25</v>
      </c>
      <c r="J3" s="7" t="s">
        <v>26</v>
      </c>
      <c r="K3" s="8" t="s">
        <v>27</v>
      </c>
      <c r="L3" s="9" t="s">
        <v>28</v>
      </c>
      <c r="M3" s="8" t="s">
        <v>29</v>
      </c>
      <c r="N3" s="8" t="s">
        <v>30</v>
      </c>
      <c r="O3" s="9" t="s">
        <v>31</v>
      </c>
      <c r="P3" s="9" t="s">
        <v>32</v>
      </c>
    </row>
    <row r="4" spans="1:16">
      <c r="A4" s="10">
        <v>1971</v>
      </c>
      <c r="B4" s="10">
        <v>100</v>
      </c>
      <c r="C4" s="11">
        <v>0.01146801559164077</v>
      </c>
      <c r="D4" s="11">
        <v>0.06474097738975186</v>
      </c>
      <c r="E4" s="11">
        <v>0.005650863367639257</v>
      </c>
      <c r="F4" s="11">
        <v>0.007712146679832306</v>
      </c>
      <c r="G4" s="11">
        <v>0.0897046749814706</v>
      </c>
      <c r="H4" s="11">
        <v>0.1224265331357325</v>
      </c>
      <c r="I4" s="12">
        <v>0.009076354569947067</v>
      </c>
      <c r="J4" s="13">
        <v>0.7327224963727129</v>
      </c>
      <c r="K4" s="11">
        <v>-0.06377603539723664</v>
      </c>
      <c r="L4" s="11">
        <v>-0.1168953303162432</v>
      </c>
      <c r="M4" s="14">
        <v>43.35</v>
      </c>
      <c r="N4" s="14">
        <v>43.85</v>
      </c>
      <c r="O4" s="14">
        <v>95.69</v>
      </c>
      <c r="P4" s="14">
        <v>102.09</v>
      </c>
    </row>
    <row r="5" spans="1:16">
      <c r="A5" s="10">
        <v>1972</v>
      </c>
      <c r="B5" s="10">
        <v>260</v>
      </c>
      <c r="C5" s="11">
        <v>0.396684750114415</v>
      </c>
      <c r="D5" s="11">
        <v>0.1452534863505988</v>
      </c>
      <c r="E5" s="11">
        <v>0.01091669986436991</v>
      </c>
      <c r="F5" s="11">
        <v>0.005011505683948968</v>
      </c>
      <c r="G5" s="11">
        <v>0.173297237871932</v>
      </c>
      <c r="H5" s="11">
        <v>0.07955518640229378</v>
      </c>
      <c r="I5" s="15">
        <v>-0.07789176148426194</v>
      </c>
      <c r="J5" s="13">
        <v>2.17832734368322</v>
      </c>
      <c r="K5" s="11">
        <v>-0.1476521634265595</v>
      </c>
      <c r="L5" s="11">
        <v>-0.05272057916253017</v>
      </c>
      <c r="M5" s="14">
        <v>44.3</v>
      </c>
      <c r="N5" s="14">
        <v>65.2</v>
      </c>
      <c r="O5" s="14">
        <v>101.67</v>
      </c>
      <c r="P5" s="14">
        <v>118.05</v>
      </c>
    </row>
    <row r="6" spans="1:16">
      <c r="A6" s="10">
        <v>1973</v>
      </c>
      <c r="B6" s="10">
        <v>261</v>
      </c>
      <c r="C6" s="11">
        <v>0.5437143928117909</v>
      </c>
      <c r="D6" s="11">
        <v>-0.1907431964624012</v>
      </c>
      <c r="E6" s="11">
        <v>0.02136825814334218</v>
      </c>
      <c r="F6" s="11">
        <v>0.00979463353104457</v>
      </c>
      <c r="G6" s="11">
        <v>0.3392105819874851</v>
      </c>
      <c r="H6" s="11">
        <v>0.1554849870369502</v>
      </c>
      <c r="I6" s="12">
        <v>0.01909090815443949</v>
      </c>
      <c r="J6" s="13">
        <v>2.181629162093144</v>
      </c>
      <c r="K6" s="11">
        <v>-0.3367095126930348</v>
      </c>
      <c r="L6" s="11">
        <v>-0.2659635484971372</v>
      </c>
      <c r="M6" s="14">
        <v>65.2</v>
      </c>
      <c r="N6" s="14">
        <v>112.3</v>
      </c>
      <c r="O6" s="14">
        <v>118.05</v>
      </c>
      <c r="P6" s="14">
        <v>97.55</v>
      </c>
    </row>
    <row r="7" spans="1:16">
      <c r="A7" s="10">
        <v>1974</v>
      </c>
      <c r="B7" s="10">
        <v>261</v>
      </c>
      <c r="C7" s="11">
        <v>0.5085969622685285</v>
      </c>
      <c r="D7" s="11">
        <v>-0.3526557927795956</v>
      </c>
      <c r="E7" s="11">
        <v>0.01988349091563788</v>
      </c>
      <c r="F7" s="11">
        <v>0.01350590528731674</v>
      </c>
      <c r="G7" s="11">
        <v>0.3156406329515388</v>
      </c>
      <c r="H7" s="11">
        <v>0.2143995997261947</v>
      </c>
      <c r="I7" s="15">
        <v>-0.02399071989771109</v>
      </c>
      <c r="J7" s="13">
        <v>1.472207193271988</v>
      </c>
      <c r="K7" s="11">
        <v>-0.2917690185083288</v>
      </c>
      <c r="L7" s="11">
        <v>-0.4715278363516205</v>
      </c>
      <c r="M7" s="14">
        <v>112.3</v>
      </c>
      <c r="N7" s="14">
        <v>186.75</v>
      </c>
      <c r="O7" s="14">
        <v>97.55</v>
      </c>
      <c r="P7" s="14">
        <v>68.56</v>
      </c>
    </row>
    <row r="8" spans="1:16">
      <c r="A8" s="10">
        <v>1975</v>
      </c>
      <c r="B8" s="10">
        <v>261</v>
      </c>
      <c r="C8" s="11">
        <v>-0.285631521205035</v>
      </c>
      <c r="D8" s="11">
        <v>0.274209281888091</v>
      </c>
      <c r="E8" s="11">
        <v>0.01306916172209992</v>
      </c>
      <c r="F8" s="11">
        <v>0.009580555352249328</v>
      </c>
      <c r="G8" s="11">
        <v>0.2074665105645662</v>
      </c>
      <c r="H8" s="11">
        <v>0.1520866013036432</v>
      </c>
      <c r="I8" s="15">
        <v>-0.1135130135416043</v>
      </c>
      <c r="J8" s="13">
        <v>1.364134044591845</v>
      </c>
      <c r="K8" s="11">
        <v>-0.3707339140677851</v>
      </c>
      <c r="L8" s="11">
        <v>-0.1524612107371799</v>
      </c>
      <c r="M8" s="14">
        <v>186.75</v>
      </c>
      <c r="N8" s="14">
        <v>140.35</v>
      </c>
      <c r="O8" s="14">
        <v>68.56</v>
      </c>
      <c r="P8" s="14">
        <v>90.19</v>
      </c>
    </row>
    <row r="9" spans="1:16">
      <c r="A9" s="10">
        <v>1976</v>
      </c>
      <c r="B9" s="10">
        <v>262</v>
      </c>
      <c r="C9" s="11">
        <v>-0.04071809301878491</v>
      </c>
      <c r="D9" s="11">
        <v>0.1752001291230585</v>
      </c>
      <c r="E9" s="11">
        <v>0.01329769785457707</v>
      </c>
      <c r="F9" s="11">
        <v>0.006872078485391626</v>
      </c>
      <c r="G9" s="11">
        <v>0.2110944091973285</v>
      </c>
      <c r="H9" s="11">
        <v>0.109090863974782</v>
      </c>
      <c r="I9" s="12">
        <v>0.05687561200084758</v>
      </c>
      <c r="J9" s="13">
        <v>1.935032884569749</v>
      </c>
      <c r="K9" s="11">
        <v>-0.3172076250382873</v>
      </c>
      <c r="L9" s="11">
        <v>-0.08735709868710977</v>
      </c>
      <c r="M9" s="14">
        <v>140.35</v>
      </c>
      <c r="N9" s="14">
        <v>134.75</v>
      </c>
      <c r="O9" s="14">
        <v>90.19</v>
      </c>
      <c r="P9" s="14">
        <v>107.46</v>
      </c>
    </row>
    <row r="10" spans="1:16">
      <c r="A10" s="10">
        <v>1977</v>
      </c>
      <c r="B10" s="10">
        <v>260</v>
      </c>
      <c r="C10" s="11">
        <v>0.2022818104795439</v>
      </c>
      <c r="D10" s="11">
        <v>-0.12218971574933</v>
      </c>
      <c r="E10" s="11">
        <v>0.008367831179333617</v>
      </c>
      <c r="F10" s="11">
        <v>0.005661291611876102</v>
      </c>
      <c r="G10" s="11">
        <v>0.1328352018809345</v>
      </c>
      <c r="H10" s="11">
        <v>0.089870218226641</v>
      </c>
      <c r="I10" s="15">
        <v>-0.01292400406296275</v>
      </c>
      <c r="J10" s="13">
        <v>1.478078105317841</v>
      </c>
      <c r="K10" s="11">
        <v>-0.1107660322755762</v>
      </c>
      <c r="L10" s="11">
        <v>-0.1651612298350529</v>
      </c>
      <c r="M10" s="14">
        <v>135.6</v>
      </c>
      <c r="N10" s="14">
        <v>164.96</v>
      </c>
      <c r="O10" s="14">
        <v>107</v>
      </c>
      <c r="P10" s="14">
        <v>95.09999999999999</v>
      </c>
    </row>
    <row r="11" spans="1:16">
      <c r="A11" s="10">
        <v>1978</v>
      </c>
      <c r="B11" s="10">
        <v>260</v>
      </c>
      <c r="C11" s="11">
        <v>0.3148319790036361</v>
      </c>
      <c r="D11" s="11">
        <v>0.01056439928384838</v>
      </c>
      <c r="E11" s="11">
        <v>0.01336675536021485</v>
      </c>
      <c r="F11" s="11">
        <v>0.00780041966175072</v>
      </c>
      <c r="G11" s="11">
        <v>0.2121906631138085</v>
      </c>
      <c r="H11" s="11">
        <v>0.1238278232815859</v>
      </c>
      <c r="I11" s="15">
        <v>-0.2593086920385285</v>
      </c>
      <c r="J11" s="13">
        <v>1.713594388486379</v>
      </c>
      <c r="K11" s="11">
        <v>-0.2272715241522406</v>
      </c>
      <c r="L11" s="11">
        <v>-0.1456348415843464</v>
      </c>
      <c r="M11" s="14">
        <v>164.96</v>
      </c>
      <c r="N11" s="14">
        <v>226</v>
      </c>
      <c r="O11" s="14">
        <v>95.09999999999999</v>
      </c>
      <c r="P11" s="14">
        <v>96.11</v>
      </c>
    </row>
    <row r="12" spans="1:16">
      <c r="A12" s="10">
        <v>1979</v>
      </c>
      <c r="B12" s="10">
        <v>261</v>
      </c>
      <c r="C12" s="11">
        <v>0.8177896257672219</v>
      </c>
      <c r="D12" s="11">
        <v>0.1160821483553048</v>
      </c>
      <c r="E12" s="11">
        <v>0.01734767462502204</v>
      </c>
      <c r="F12" s="11">
        <v>0.006730022603320765</v>
      </c>
      <c r="G12" s="11">
        <v>0.275385797298444</v>
      </c>
      <c r="H12" s="11">
        <v>0.1068357967573815</v>
      </c>
      <c r="I12" s="15">
        <v>-0.1834623090862749</v>
      </c>
      <c r="J12" s="13">
        <v>2.577654734244467</v>
      </c>
      <c r="K12" s="11">
        <v>-0.1333141058015103</v>
      </c>
      <c r="L12" s="11">
        <v>-0.1080903399145653</v>
      </c>
      <c r="M12" s="14">
        <v>226</v>
      </c>
      <c r="N12" s="14">
        <v>512</v>
      </c>
      <c r="O12" s="14">
        <v>96.11</v>
      </c>
      <c r="P12" s="14">
        <v>107.94</v>
      </c>
    </row>
    <row r="13" spans="1:16">
      <c r="A13" s="10">
        <v>1980</v>
      </c>
      <c r="B13" s="10">
        <v>262</v>
      </c>
      <c r="C13" s="11">
        <v>0.1349951645375039</v>
      </c>
      <c r="D13" s="11">
        <v>0.229313103735475</v>
      </c>
      <c r="E13" s="11">
        <v>0.03070783199649165</v>
      </c>
      <c r="F13" s="11">
        <v>0.01019450524052669</v>
      </c>
      <c r="G13" s="11">
        <v>0.4874717205880139</v>
      </c>
      <c r="H13" s="11">
        <v>0.16183275363467</v>
      </c>
      <c r="I13" s="12">
        <v>0.1295239004739936</v>
      </c>
      <c r="J13" s="13">
        <v>3.01219443925708</v>
      </c>
      <c r="K13" s="11">
        <v>-0.5505254936126751</v>
      </c>
      <c r="L13" s="11">
        <v>-0.1871966426222917</v>
      </c>
      <c r="M13" s="14">
        <v>512</v>
      </c>
      <c r="N13" s="14">
        <v>586</v>
      </c>
      <c r="O13" s="14">
        <v>107.94</v>
      </c>
      <c r="P13" s="14">
        <v>135.76</v>
      </c>
    </row>
    <row r="14" spans="1:16">
      <c r="A14" s="10">
        <v>1981</v>
      </c>
      <c r="B14" s="10">
        <v>261</v>
      </c>
      <c r="C14" s="11">
        <v>-0.3793583622704422</v>
      </c>
      <c r="D14" s="11">
        <v>-0.1023695109518503</v>
      </c>
      <c r="E14" s="11">
        <v>0.01805583688685389</v>
      </c>
      <c r="F14" s="11">
        <v>0.008392386729281045</v>
      </c>
      <c r="G14" s="11">
        <v>0.2866275246945725</v>
      </c>
      <c r="H14" s="11">
        <v>0.1332250091517384</v>
      </c>
      <c r="I14" s="12">
        <v>0.06301339502862592</v>
      </c>
      <c r="J14" s="13">
        <v>2.151454344192345</v>
      </c>
      <c r="K14" s="11">
        <v>-0.4263321314601303</v>
      </c>
      <c r="L14" s="11">
        <v>-0.2027725262775966</v>
      </c>
      <c r="M14" s="14">
        <v>586</v>
      </c>
      <c r="N14" s="14">
        <v>401</v>
      </c>
      <c r="O14" s="14">
        <v>135.76</v>
      </c>
      <c r="P14" s="14">
        <v>122.55</v>
      </c>
    </row>
    <row r="15" spans="1:16">
      <c r="A15" s="10">
        <v>1982</v>
      </c>
      <c r="B15" s="10">
        <v>261</v>
      </c>
      <c r="C15" s="11">
        <v>0.1305029023963603</v>
      </c>
      <c r="D15" s="11">
        <v>0.1376843239627451</v>
      </c>
      <c r="E15" s="11">
        <v>0.02122154944812496</v>
      </c>
      <c r="F15" s="11">
        <v>0.01138293141047125</v>
      </c>
      <c r="G15" s="11">
        <v>0.336881653651192</v>
      </c>
      <c r="H15" s="11">
        <v>0.1806984342180758</v>
      </c>
      <c r="I15" s="12">
        <v>0.242621453441557</v>
      </c>
      <c r="J15" s="13">
        <v>1.864330784652105</v>
      </c>
      <c r="K15" s="11">
        <v>-0.3072864542202253</v>
      </c>
      <c r="L15" s="11">
        <v>-0.1809862909265466</v>
      </c>
      <c r="M15" s="14">
        <v>401</v>
      </c>
      <c r="N15" s="14">
        <v>456.8999</v>
      </c>
      <c r="O15" s="14">
        <v>122.55</v>
      </c>
      <c r="P15" s="14">
        <v>140.64</v>
      </c>
    </row>
    <row r="16" spans="1:16">
      <c r="A16" s="10">
        <v>1983</v>
      </c>
      <c r="B16" s="10">
        <v>260</v>
      </c>
      <c r="C16" s="11">
        <v>-0.1803534789784184</v>
      </c>
      <c r="D16" s="11">
        <v>0.159317707523193</v>
      </c>
      <c r="E16" s="11">
        <v>0.0157634462085825</v>
      </c>
      <c r="F16" s="11">
        <v>0.008276634024981423</v>
      </c>
      <c r="G16" s="11">
        <v>0.2502369508395197</v>
      </c>
      <c r="H16" s="11">
        <v>0.1313874919367784</v>
      </c>
      <c r="I16" s="12">
        <v>0.1319237082700245</v>
      </c>
      <c r="J16" s="13">
        <v>1.904572095492392</v>
      </c>
      <c r="K16" s="11">
        <v>-0.3080504528432629</v>
      </c>
      <c r="L16" s="11">
        <v>-0.07156943788279842</v>
      </c>
      <c r="M16" s="14">
        <v>452</v>
      </c>
      <c r="N16" s="14">
        <v>381.5</v>
      </c>
      <c r="O16" s="14">
        <v>138.34</v>
      </c>
      <c r="P16" s="14">
        <v>164.93</v>
      </c>
    </row>
    <row r="17" spans="1:16">
      <c r="A17" s="10">
        <v>1984</v>
      </c>
      <c r="B17" s="10">
        <v>261</v>
      </c>
      <c r="C17" s="11">
        <v>-0.2130381645513981</v>
      </c>
      <c r="D17" s="11">
        <v>0.013908765028303</v>
      </c>
      <c r="E17" s="11">
        <v>0.009923182626377359</v>
      </c>
      <c r="F17" s="11">
        <v>0.007879109719447507</v>
      </c>
      <c r="G17" s="11">
        <v>0.1575256406620276</v>
      </c>
      <c r="H17" s="11">
        <v>0.1250769892215</v>
      </c>
      <c r="I17" s="15">
        <v>-0.0833524456693148</v>
      </c>
      <c r="J17" s="13">
        <v>1.259429425368274</v>
      </c>
      <c r="K17" s="11">
        <v>-0.277384847291398</v>
      </c>
      <c r="L17" s="11">
        <v>-0.1355588313131941</v>
      </c>
      <c r="M17" s="14">
        <v>381.5</v>
      </c>
      <c r="N17" s="14">
        <v>308.2998</v>
      </c>
      <c r="O17" s="14">
        <v>164.93</v>
      </c>
      <c r="P17" s="14">
        <v>167.24</v>
      </c>
    </row>
    <row r="18" spans="1:16">
      <c r="A18" s="10">
        <v>1985</v>
      </c>
      <c r="B18" s="10">
        <v>261</v>
      </c>
      <c r="C18" s="11">
        <v>0.06711046390457096</v>
      </c>
      <c r="D18" s="11">
        <v>0.2337543615005119</v>
      </c>
      <c r="E18" s="11">
        <v>0.01063273204716655</v>
      </c>
      <c r="F18" s="11">
        <v>0.00629223748512441</v>
      </c>
      <c r="G18" s="11">
        <v>0.1687893885239364</v>
      </c>
      <c r="H18" s="11">
        <v>0.09988617345478602</v>
      </c>
      <c r="I18" s="12">
        <v>0.01737254956283801</v>
      </c>
      <c r="J18" s="13">
        <v>1.689817345944679</v>
      </c>
      <c r="K18" s="11">
        <v>-0.08139447051011364</v>
      </c>
      <c r="L18" s="11">
        <v>-0.07971053693472385</v>
      </c>
      <c r="M18" s="14">
        <v>308.2998</v>
      </c>
      <c r="N18" s="14">
        <v>329.7</v>
      </c>
      <c r="O18" s="14">
        <v>167.24</v>
      </c>
      <c r="P18" s="14">
        <v>211.28</v>
      </c>
    </row>
    <row r="19" spans="1:16">
      <c r="A19" s="10">
        <v>1986</v>
      </c>
      <c r="B19" s="10">
        <v>261</v>
      </c>
      <c r="C19" s="11">
        <v>0.1684503936143573</v>
      </c>
      <c r="D19" s="11">
        <v>0.1364556908835331</v>
      </c>
      <c r="E19" s="11">
        <v>0.01163361851626184</v>
      </c>
      <c r="F19" s="11">
        <v>0.009148128162371576</v>
      </c>
      <c r="G19" s="11">
        <v>0.1846779686509503</v>
      </c>
      <c r="H19" s="11">
        <v>0.145222032476289</v>
      </c>
      <c r="I19" s="12">
        <v>0.01198643731136147</v>
      </c>
      <c r="J19" s="13">
        <v>1.271693871114932</v>
      </c>
      <c r="K19" s="11">
        <v>-0.1401329992710755</v>
      </c>
      <c r="L19" s="11">
        <v>-0.09897682360867388</v>
      </c>
      <c r="M19" s="14">
        <v>329.7</v>
      </c>
      <c r="N19" s="14">
        <v>390.1899</v>
      </c>
      <c r="O19" s="14">
        <v>211.28</v>
      </c>
      <c r="P19" s="14">
        <v>242.17</v>
      </c>
    </row>
    <row r="20" spans="1:16">
      <c r="A20" s="10">
        <v>1987</v>
      </c>
      <c r="B20" s="10">
        <v>261</v>
      </c>
      <c r="C20" s="11">
        <v>0.219266184768542</v>
      </c>
      <c r="D20" s="11">
        <v>0.02007221195528872</v>
      </c>
      <c r="E20" s="11">
        <v>0.009702563402599437</v>
      </c>
      <c r="F20" s="11">
        <v>0.02092063134421422</v>
      </c>
      <c r="G20" s="11">
        <v>0.1540234190586887</v>
      </c>
      <c r="H20" s="11">
        <v>0.3321047268435224</v>
      </c>
      <c r="I20" s="15">
        <v>-0.2936824419003539</v>
      </c>
      <c r="J20" s="13">
        <v>0.4637796652959407</v>
      </c>
      <c r="K20" s="11">
        <v>-0.08316400325038084</v>
      </c>
      <c r="L20" s="11">
        <v>-0.4081113595594784</v>
      </c>
      <c r="M20" s="14">
        <v>390.1899</v>
      </c>
      <c r="N20" s="14">
        <v>485.8499</v>
      </c>
      <c r="O20" s="14">
        <v>242.17</v>
      </c>
      <c r="P20" s="14">
        <v>247.08</v>
      </c>
    </row>
    <row r="21" spans="1:16">
      <c r="A21" s="10">
        <v>1988</v>
      </c>
      <c r="B21" s="10">
        <v>261</v>
      </c>
      <c r="C21" s="11">
        <v>-0.1712317257868549</v>
      </c>
      <c r="D21" s="11">
        <v>0.1169012410573724</v>
      </c>
      <c r="E21" s="11">
        <v>0.007859007653011138</v>
      </c>
      <c r="F21" s="11">
        <v>0.01064738359251156</v>
      </c>
      <c r="G21" s="11">
        <v>0.1247578788097252</v>
      </c>
      <c r="H21" s="11">
        <v>0.1690219745957705</v>
      </c>
      <c r="I21" s="15">
        <v>-0.2025775703651215</v>
      </c>
      <c r="J21" s="13">
        <v>0.738116325454685</v>
      </c>
      <c r="K21" s="11">
        <v>-0.2143488236568585</v>
      </c>
      <c r="L21" s="11">
        <v>-0.07944451419993526</v>
      </c>
      <c r="M21" s="14">
        <v>485.8499</v>
      </c>
      <c r="N21" s="14">
        <v>409.3899</v>
      </c>
      <c r="O21" s="14">
        <v>247.08</v>
      </c>
      <c r="P21" s="14">
        <v>277.72</v>
      </c>
    </row>
    <row r="22" spans="1:16">
      <c r="A22" s="10">
        <v>1989</v>
      </c>
      <c r="B22" s="10">
        <v>260</v>
      </c>
      <c r="C22" s="11">
        <v>-0.01560787516059155</v>
      </c>
      <c r="D22" s="11">
        <v>0.2409871480005225</v>
      </c>
      <c r="E22" s="11">
        <v>0.008249421920509863</v>
      </c>
      <c r="F22" s="11">
        <v>0.008152290586069184</v>
      </c>
      <c r="G22" s="11">
        <v>0.1309555131702836</v>
      </c>
      <c r="H22" s="11">
        <v>0.1294136010376324</v>
      </c>
      <c r="I22" s="15">
        <v>-0.08504410644648201</v>
      </c>
      <c r="J22" s="13">
        <v>1.011914606504172</v>
      </c>
      <c r="K22" s="11">
        <v>-0.1391596081657593</v>
      </c>
      <c r="L22" s="11">
        <v>-0.07857768906406271</v>
      </c>
      <c r="M22" s="14">
        <v>409.3899</v>
      </c>
      <c r="N22" s="14">
        <v>403.0498</v>
      </c>
      <c r="O22" s="14">
        <v>277.72</v>
      </c>
      <c r="P22" s="14">
        <v>353.4</v>
      </c>
    </row>
    <row r="23" spans="1:16">
      <c r="A23" s="10">
        <v>1990</v>
      </c>
      <c r="B23" s="10">
        <v>261</v>
      </c>
      <c r="C23" s="11">
        <v>-0.0252505156438754</v>
      </c>
      <c r="D23" s="11">
        <v>-0.06784146088191093</v>
      </c>
      <c r="E23" s="11">
        <v>0.01069181870983396</v>
      </c>
      <c r="F23" s="11">
        <v>0.009901401083033071</v>
      </c>
      <c r="G23" s="11">
        <v>0.1697273602152488</v>
      </c>
      <c r="H23" s="11">
        <v>0.1571798693808666</v>
      </c>
      <c r="I23" s="15">
        <v>-0.3130000869773901</v>
      </c>
      <c r="J23" s="13">
        <v>1.079828866659623</v>
      </c>
      <c r="K23" s="11">
        <v>-0.2021171970002277</v>
      </c>
      <c r="L23" s="11">
        <v>-0.2221276696109133</v>
      </c>
      <c r="M23" s="14">
        <v>403.0498</v>
      </c>
      <c r="N23" s="14">
        <v>393</v>
      </c>
      <c r="O23" s="14">
        <v>353.4</v>
      </c>
      <c r="P23" s="14">
        <v>330.22</v>
      </c>
    </row>
    <row r="24" spans="1:16">
      <c r="A24" s="10">
        <v>1991</v>
      </c>
      <c r="B24" s="10">
        <v>261</v>
      </c>
      <c r="C24" s="11">
        <v>-0.103666164491362</v>
      </c>
      <c r="D24" s="11">
        <v>0.2335429268458769</v>
      </c>
      <c r="E24" s="11">
        <v>0.00764544270909067</v>
      </c>
      <c r="F24" s="11">
        <v>0.008852711058140767</v>
      </c>
      <c r="G24" s="11">
        <v>0.1213676404274751</v>
      </c>
      <c r="H24" s="11">
        <v>0.1405324313313116</v>
      </c>
      <c r="I24" s="15">
        <v>-0.3266107734967155</v>
      </c>
      <c r="J24" s="13">
        <v>0.863627272919981</v>
      </c>
      <c r="K24" s="11">
        <v>-0.1585106601950051</v>
      </c>
      <c r="L24" s="11">
        <v>-0.05839186402021431</v>
      </c>
      <c r="M24" s="14">
        <v>393</v>
      </c>
      <c r="N24" s="14">
        <v>354.2998</v>
      </c>
      <c r="O24" s="14">
        <v>330.22</v>
      </c>
      <c r="P24" s="14">
        <v>417.09</v>
      </c>
    </row>
    <row r="25" spans="1:16">
      <c r="A25" s="10">
        <v>1992</v>
      </c>
      <c r="B25" s="10">
        <v>262</v>
      </c>
      <c r="C25" s="11">
        <v>-0.06155090853448858</v>
      </c>
      <c r="D25" s="11">
        <v>0.04367485858263533</v>
      </c>
      <c r="E25" s="11">
        <v>0.004911401156532188</v>
      </c>
      <c r="F25" s="11">
        <v>0.006003481515102962</v>
      </c>
      <c r="G25" s="11">
        <v>0.07796607629435509</v>
      </c>
      <c r="H25" s="11">
        <v>0.09530231453721418</v>
      </c>
      <c r="I25" s="15">
        <v>-0.01265423156324004</v>
      </c>
      <c r="J25" s="13">
        <v>0.8180921593872778</v>
      </c>
      <c r="K25" s="11">
        <v>-0.08486423375866611</v>
      </c>
      <c r="L25" s="11">
        <v>-0.06446722582045504</v>
      </c>
      <c r="M25" s="14">
        <v>354.2998</v>
      </c>
      <c r="N25" s="14">
        <v>333.1499</v>
      </c>
      <c r="O25" s="14">
        <v>417.09</v>
      </c>
      <c r="P25" s="14">
        <v>435.71</v>
      </c>
    </row>
    <row r="26" spans="1:16">
      <c r="A26" s="10">
        <v>1993</v>
      </c>
      <c r="B26" s="10">
        <v>261</v>
      </c>
      <c r="C26" s="11">
        <v>0.1594754304581759</v>
      </c>
      <c r="D26" s="11">
        <v>0.06817394897477524</v>
      </c>
      <c r="E26" s="11">
        <v>0.008912938567347647</v>
      </c>
      <c r="F26" s="11">
        <v>0.005335142251388338</v>
      </c>
      <c r="G26" s="11">
        <v>0.1414885133999891</v>
      </c>
      <c r="H26" s="11">
        <v>0.08469275763796073</v>
      </c>
      <c r="I26" s="15">
        <v>-0.2223568091800767</v>
      </c>
      <c r="J26" s="13">
        <v>1.670609357234716</v>
      </c>
      <c r="K26" s="11">
        <v>-0.1686430681726512</v>
      </c>
      <c r="L26" s="11">
        <v>-0.05123216782498342</v>
      </c>
      <c r="M26" s="14">
        <v>333.1499</v>
      </c>
      <c r="N26" s="14">
        <v>390.75</v>
      </c>
      <c r="O26" s="14">
        <v>435.71</v>
      </c>
      <c r="P26" s="14">
        <v>466.45</v>
      </c>
    </row>
    <row r="27" spans="1:16">
      <c r="A27" s="10">
        <v>1994</v>
      </c>
      <c r="B27" s="10">
        <v>260</v>
      </c>
      <c r="C27" s="11">
        <v>-0.02042496294138991</v>
      </c>
      <c r="D27" s="11">
        <v>-0.01551256099487144</v>
      </c>
      <c r="E27" s="11">
        <v>0.005626640892863254</v>
      </c>
      <c r="F27" s="11">
        <v>0.006110278792926825</v>
      </c>
      <c r="G27" s="11">
        <v>0.08932015511509557</v>
      </c>
      <c r="H27" s="11">
        <v>0.09699766876413787</v>
      </c>
      <c r="I27" s="15">
        <v>-0.202924954894448</v>
      </c>
      <c r="J27" s="13">
        <v>0.9208484724750329</v>
      </c>
      <c r="K27" s="11">
        <v>-0.05937990473475978</v>
      </c>
      <c r="L27" s="11">
        <v>-0.09362694992800188</v>
      </c>
      <c r="M27" s="14">
        <v>393.75</v>
      </c>
      <c r="N27" s="14">
        <v>382.8499</v>
      </c>
      <c r="O27" s="14">
        <v>465.44</v>
      </c>
      <c r="P27" s="14">
        <v>459.27</v>
      </c>
    </row>
    <row r="28" spans="1:16">
      <c r="A28" s="10">
        <v>1995</v>
      </c>
      <c r="B28" s="10">
        <v>260</v>
      </c>
      <c r="C28" s="11">
        <v>0.01103979289219289</v>
      </c>
      <c r="D28" s="11">
        <v>0.2934950483006818</v>
      </c>
      <c r="E28" s="11">
        <v>0.003976149218351746</v>
      </c>
      <c r="F28" s="11">
        <v>0.004840418099883083</v>
      </c>
      <c r="G28" s="11">
        <v>0.06311941204465549</v>
      </c>
      <c r="H28" s="11">
        <v>0.07683925520319865</v>
      </c>
      <c r="I28" s="15">
        <v>-0.1222300472080301</v>
      </c>
      <c r="J28" s="13">
        <v>0.8214474734006527</v>
      </c>
      <c r="K28" s="11">
        <v>-0.04240105340638826</v>
      </c>
      <c r="L28" s="11">
        <v>-0.02566060495098527</v>
      </c>
      <c r="M28" s="14">
        <v>383.1499</v>
      </c>
      <c r="N28" s="14">
        <v>387.0999</v>
      </c>
      <c r="O28" s="14">
        <v>459.27</v>
      </c>
      <c r="P28" s="14">
        <v>615.9299999999999</v>
      </c>
    </row>
    <row r="29" spans="1:16">
      <c r="A29" s="10">
        <v>1996</v>
      </c>
      <c r="B29" s="10">
        <v>262</v>
      </c>
      <c r="C29" s="11">
        <v>-0.05046454415225032</v>
      </c>
      <c r="D29" s="11">
        <v>0.1845163658185165</v>
      </c>
      <c r="E29" s="11">
        <v>0.003681248055436548</v>
      </c>
      <c r="F29" s="11">
        <v>0.007318579226645259</v>
      </c>
      <c r="G29" s="11">
        <v>0.05843800121415133</v>
      </c>
      <c r="H29" s="11">
        <v>0.1161788435041606</v>
      </c>
      <c r="I29" s="15">
        <v>-0.1540400778305566</v>
      </c>
      <c r="J29" s="13">
        <v>0.5030003695299182</v>
      </c>
      <c r="K29" s="11">
        <v>-0.1209030424241089</v>
      </c>
      <c r="L29" s="11">
        <v>-0.07951104650229891</v>
      </c>
      <c r="M29" s="14">
        <v>387.0999</v>
      </c>
      <c r="N29" s="14">
        <v>368.0498</v>
      </c>
      <c r="O29" s="14">
        <v>615.9299999999999</v>
      </c>
      <c r="P29" s="14">
        <v>740.74</v>
      </c>
    </row>
    <row r="30" spans="1:16">
      <c r="A30" s="10">
        <v>1997</v>
      </c>
      <c r="B30" s="10">
        <v>261</v>
      </c>
      <c r="C30" s="11">
        <v>-0.2416192634937044</v>
      </c>
      <c r="D30" s="11">
        <v>0.2700895857072414</v>
      </c>
      <c r="E30" s="11">
        <v>0.00752597762175143</v>
      </c>
      <c r="F30" s="11">
        <v>0.01127361304262959</v>
      </c>
      <c r="G30" s="11">
        <v>0.1194711909587497</v>
      </c>
      <c r="H30" s="11">
        <v>0.1789630589278327</v>
      </c>
      <c r="I30" s="15">
        <v>-0.1720226037456908</v>
      </c>
      <c r="J30" s="13">
        <v>0.6675745915078865</v>
      </c>
      <c r="K30" s="11">
        <v>-0.2636551401039077</v>
      </c>
      <c r="L30" s="11">
        <v>-0.1142355981777196</v>
      </c>
      <c r="M30" s="14">
        <v>368.0498</v>
      </c>
      <c r="N30" s="14">
        <v>289.0498</v>
      </c>
      <c r="O30" s="14">
        <v>740.74</v>
      </c>
      <c r="P30" s="14">
        <v>970.4299999999999</v>
      </c>
    </row>
    <row r="31" spans="1:16">
      <c r="A31" s="10">
        <v>1998</v>
      </c>
      <c r="B31" s="10">
        <v>261</v>
      </c>
      <c r="C31" s="11">
        <v>-0.002770832457263825</v>
      </c>
      <c r="D31" s="11">
        <v>0.2364039638377648</v>
      </c>
      <c r="E31" s="11">
        <v>0.007957382669053954</v>
      </c>
      <c r="F31" s="11">
        <v>0.01259225775312542</v>
      </c>
      <c r="G31" s="11">
        <v>0.1263195337757529</v>
      </c>
      <c r="H31" s="11">
        <v>0.1998958947575689</v>
      </c>
      <c r="I31" s="15">
        <v>-0.001332252813818866</v>
      </c>
      <c r="J31" s="13">
        <v>0.6319266032399091</v>
      </c>
      <c r="K31" s="11">
        <v>-0.135147273051906</v>
      </c>
      <c r="L31" s="11">
        <v>-0.2148778277897058</v>
      </c>
      <c r="M31" s="14">
        <v>289.0498</v>
      </c>
      <c r="N31" s="14">
        <v>288.25</v>
      </c>
      <c r="O31" s="14">
        <v>970.4299999999999</v>
      </c>
      <c r="P31" s="14">
        <v>1229.23</v>
      </c>
    </row>
    <row r="32" spans="1:16">
      <c r="A32" s="10">
        <v>1999</v>
      </c>
      <c r="B32" s="10">
        <v>261</v>
      </c>
      <c r="C32" s="11">
        <v>-5.828670879282072E-16</v>
      </c>
      <c r="D32" s="11">
        <v>0.1783641094164546</v>
      </c>
      <c r="E32" s="11">
        <v>0.01049753162870394</v>
      </c>
      <c r="F32" s="11">
        <v>0.01117297226363932</v>
      </c>
      <c r="G32" s="11">
        <v>0.1666431484175127</v>
      </c>
      <c r="H32" s="11">
        <v>0.1773654360900722</v>
      </c>
      <c r="I32" s="15">
        <v>-0.002206848852024095</v>
      </c>
      <c r="J32" s="13">
        <v>0.9395469156283957</v>
      </c>
      <c r="K32" s="11">
        <v>-0.1696393249763575</v>
      </c>
      <c r="L32" s="11">
        <v>-0.1287279456460292</v>
      </c>
      <c r="M32" s="14">
        <v>288.25</v>
      </c>
      <c r="N32" s="14">
        <v>288.25</v>
      </c>
      <c r="O32" s="14">
        <v>1229.23</v>
      </c>
      <c r="P32" s="14">
        <v>1469.25</v>
      </c>
    </row>
    <row r="33" spans="1:16">
      <c r="A33" s="10">
        <v>2000</v>
      </c>
      <c r="B33" s="10">
        <v>260</v>
      </c>
      <c r="C33" s="11">
        <v>-0.05655695198107497</v>
      </c>
      <c r="D33" s="11">
        <v>-0.106908231194745</v>
      </c>
      <c r="E33" s="11">
        <v>0.01004500347970288</v>
      </c>
      <c r="F33" s="11">
        <v>0.01378397974996641</v>
      </c>
      <c r="G33" s="11">
        <v>0.1594594867564336</v>
      </c>
      <c r="H33" s="11">
        <v>0.2188138949709684</v>
      </c>
      <c r="I33" s="15">
        <v>-0.03971580165611863</v>
      </c>
      <c r="J33" s="13">
        <v>0.7287447937325472</v>
      </c>
      <c r="K33" s="11">
        <v>-0.181659967836072</v>
      </c>
      <c r="L33" s="11">
        <v>-0.1887396576836393</v>
      </c>
      <c r="M33" s="14">
        <v>289</v>
      </c>
      <c r="N33" s="14">
        <v>272.3999</v>
      </c>
      <c r="O33" s="14">
        <v>1455.22</v>
      </c>
      <c r="P33" s="14">
        <v>1320.28</v>
      </c>
    </row>
    <row r="34" spans="1:16">
      <c r="A34" s="10">
        <v>2001</v>
      </c>
      <c r="B34" s="10">
        <v>261</v>
      </c>
      <c r="C34" s="11">
        <v>0.02376134712344142</v>
      </c>
      <c r="D34" s="11">
        <v>-0.1397528534353382</v>
      </c>
      <c r="E34" s="11">
        <v>0.009058811559920233</v>
      </c>
      <c r="F34" s="11">
        <v>0.01323944743166652</v>
      </c>
      <c r="G34" s="11">
        <v>0.1438041753680762</v>
      </c>
      <c r="H34" s="11">
        <v>0.2101697124006145</v>
      </c>
      <c r="I34" s="15">
        <v>-0.08334147213764827</v>
      </c>
      <c r="J34" s="13">
        <v>0.6842288250076879</v>
      </c>
      <c r="K34" s="11">
        <v>-0.07654171212273427</v>
      </c>
      <c r="L34" s="11">
        <v>-0.3523281734826921</v>
      </c>
      <c r="M34" s="14">
        <v>272.3999</v>
      </c>
      <c r="N34" s="14">
        <v>278.95</v>
      </c>
      <c r="O34" s="14">
        <v>1320.28</v>
      </c>
      <c r="P34" s="14">
        <v>1148.08</v>
      </c>
    </row>
    <row r="35" spans="1:16">
      <c r="A35" s="10">
        <v>2002</v>
      </c>
      <c r="B35" s="10">
        <v>261</v>
      </c>
      <c r="C35" s="11">
        <v>0.2182922256553221</v>
      </c>
      <c r="D35" s="11">
        <v>-0.2661289197672447</v>
      </c>
      <c r="E35" s="11">
        <v>0.008159572324088728</v>
      </c>
      <c r="F35" s="11">
        <v>0.01606853105163187</v>
      </c>
      <c r="G35" s="11">
        <v>0.1295291950451046</v>
      </c>
      <c r="H35" s="11">
        <v>0.2550800225804226</v>
      </c>
      <c r="I35" s="15">
        <v>-0.3164977077321288</v>
      </c>
      <c r="J35" s="13">
        <v>0.5077982733997375</v>
      </c>
      <c r="K35" s="11">
        <v>-0.08107224316153137</v>
      </c>
      <c r="L35" s="11">
        <v>-0.4117706067232946</v>
      </c>
      <c r="M35" s="14">
        <v>278.95</v>
      </c>
      <c r="N35" s="14">
        <v>347</v>
      </c>
      <c r="O35" s="14">
        <v>1148.08</v>
      </c>
      <c r="P35" s="14">
        <v>879.8200000000001</v>
      </c>
    </row>
    <row r="36" spans="1:16">
      <c r="A36" s="10">
        <v>2003</v>
      </c>
      <c r="B36" s="10">
        <v>261</v>
      </c>
      <c r="C36" s="11">
        <v>0.1790737330844149</v>
      </c>
      <c r="D36" s="11">
        <v>0.2341261886810697</v>
      </c>
      <c r="E36" s="11">
        <v>0.01050035323830417</v>
      </c>
      <c r="F36" s="11">
        <v>0.01055108779933075</v>
      </c>
      <c r="G36" s="11">
        <v>0.1666879400813075</v>
      </c>
      <c r="H36" s="11">
        <v>0.1674933262694217</v>
      </c>
      <c r="I36" s="15">
        <v>-0.3638978430562975</v>
      </c>
      <c r="J36" s="13">
        <v>0.9951915326654943</v>
      </c>
      <c r="K36" s="11">
        <v>-0.1677682853839193</v>
      </c>
      <c r="L36" s="11">
        <v>-0.1514441296675302</v>
      </c>
      <c r="M36" s="14">
        <v>347</v>
      </c>
      <c r="N36" s="14">
        <v>415.0498</v>
      </c>
      <c r="O36" s="14">
        <v>879.8200000000001</v>
      </c>
      <c r="P36" s="14">
        <v>1111.92</v>
      </c>
    </row>
    <row r="37" spans="1:16">
      <c r="A37" s="10">
        <v>2004</v>
      </c>
      <c r="B37" s="10">
        <v>262</v>
      </c>
      <c r="C37" s="11">
        <v>0.05484726719408914</v>
      </c>
      <c r="D37" s="11">
        <v>0.08611762807356613</v>
      </c>
      <c r="E37" s="11">
        <v>0.009483536328392359</v>
      </c>
      <c r="F37" s="11">
        <v>0.006853433598016053</v>
      </c>
      <c r="G37" s="11">
        <v>0.1505464720462366</v>
      </c>
      <c r="H37" s="11">
        <v>0.1087948855634705</v>
      </c>
      <c r="I37" s="12">
        <v>0.08174743316141374</v>
      </c>
      <c r="J37" s="13">
        <v>1.383764239160014</v>
      </c>
      <c r="K37" s="11">
        <v>-0.1292578356535098</v>
      </c>
      <c r="L37" s="11">
        <v>-0.08517565906163496</v>
      </c>
      <c r="M37" s="14">
        <v>415.0498</v>
      </c>
      <c r="N37" s="14">
        <v>438.45</v>
      </c>
      <c r="O37" s="14">
        <v>1111.92</v>
      </c>
      <c r="P37" s="14">
        <v>1211.92</v>
      </c>
    </row>
    <row r="38" spans="1:16">
      <c r="A38" s="10">
        <v>2005</v>
      </c>
      <c r="B38" s="10">
        <v>260</v>
      </c>
      <c r="C38" s="11">
        <v>0.1659567697619246</v>
      </c>
      <c r="D38" s="11">
        <v>0.02956873588003305</v>
      </c>
      <c r="E38" s="11">
        <v>0.007798139810822627</v>
      </c>
      <c r="F38" s="11">
        <v>0.0063775256103938</v>
      </c>
      <c r="G38" s="11">
        <v>0.1237916317700937</v>
      </c>
      <c r="H38" s="11">
        <v>0.1012400804702844</v>
      </c>
      <c r="I38" s="15">
        <v>-0.00194445349459725</v>
      </c>
      <c r="J38" s="13">
        <v>1.22275319414062</v>
      </c>
      <c r="K38" s="11">
        <v>-0.07062007817919261</v>
      </c>
      <c r="L38" s="11">
        <v>-0.07436100136362091</v>
      </c>
      <c r="M38" s="14">
        <v>428.95</v>
      </c>
      <c r="N38" s="14">
        <v>517.5999</v>
      </c>
      <c r="O38" s="14">
        <v>1202.08</v>
      </c>
      <c r="P38" s="14">
        <v>1248.29</v>
      </c>
    </row>
    <row r="39" spans="1:16">
      <c r="A39" s="10">
        <v>2006</v>
      </c>
      <c r="B39" s="10">
        <v>260</v>
      </c>
      <c r="C39" s="11">
        <v>0.2072527704724826</v>
      </c>
      <c r="D39" s="11">
        <v>0.127684356570462</v>
      </c>
      <c r="E39" s="11">
        <v>0.01478197096504265</v>
      </c>
      <c r="F39" s="11">
        <v>0.006206257573306362</v>
      </c>
      <c r="G39" s="11">
        <v>0.2346565143652818</v>
      </c>
      <c r="H39" s="11">
        <v>0.09852128466827911</v>
      </c>
      <c r="I39" s="12">
        <v>0.1349255460586931</v>
      </c>
      <c r="J39" s="13">
        <v>2.381784963070363</v>
      </c>
      <c r="K39" s="11">
        <v>-0.2515030223111858</v>
      </c>
      <c r="L39" s="11">
        <v>-0.08011499586837123</v>
      </c>
      <c r="M39" s="14">
        <v>517.5999</v>
      </c>
      <c r="N39" s="14">
        <v>636.7998</v>
      </c>
      <c r="O39" s="14">
        <v>1248.29</v>
      </c>
      <c r="P39" s="14">
        <v>1418.3</v>
      </c>
    </row>
    <row r="40" spans="1:16">
      <c r="A40" s="10">
        <v>2007</v>
      </c>
      <c r="B40" s="10">
        <v>261</v>
      </c>
      <c r="C40" s="11">
        <v>0.2692982305777119</v>
      </c>
      <c r="D40" s="11">
        <v>0.03468035007498689</v>
      </c>
      <c r="E40" s="11">
        <v>0.01045566609816105</v>
      </c>
      <c r="F40" s="11">
        <v>0.009896490755140456</v>
      </c>
      <c r="G40" s="11">
        <v>0.1659785537235791</v>
      </c>
      <c r="H40" s="11">
        <v>0.1571019203421088</v>
      </c>
      <c r="I40" s="12">
        <v>0.2992892816538317</v>
      </c>
      <c r="J40" s="13">
        <v>1.056502386235256</v>
      </c>
      <c r="K40" s="11">
        <v>-0.07795974451880611</v>
      </c>
      <c r="L40" s="11">
        <v>-0.1063655390834679</v>
      </c>
      <c r="M40" s="14">
        <v>636.7998</v>
      </c>
      <c r="N40" s="14">
        <v>833.5999</v>
      </c>
      <c r="O40" s="14">
        <v>1418.3</v>
      </c>
      <c r="P40" s="14">
        <v>1468.35</v>
      </c>
    </row>
    <row r="41" spans="1:16">
      <c r="A41" s="10">
        <v>2008</v>
      </c>
      <c r="B41" s="10">
        <v>262</v>
      </c>
      <c r="C41" s="11">
        <v>0.054395603339507</v>
      </c>
      <c r="D41" s="11">
        <v>-0.4858952303477984</v>
      </c>
      <c r="E41" s="11">
        <v>0.01948747256168758</v>
      </c>
      <c r="F41" s="11">
        <v>0.02539026395931134</v>
      </c>
      <c r="G41" s="11">
        <v>0.3093540364765209</v>
      </c>
      <c r="H41" s="11">
        <v>0.403057944951744</v>
      </c>
      <c r="I41" s="15">
        <v>-0.001599055575645775</v>
      </c>
      <c r="J41" s="13">
        <v>0.7675175253363589</v>
      </c>
      <c r="K41" s="11">
        <v>-0.3426549484316307</v>
      </c>
      <c r="L41" s="11">
        <v>-0.6685733411507285</v>
      </c>
      <c r="M41" s="14">
        <v>833.7</v>
      </c>
      <c r="N41" s="14">
        <v>880.2</v>
      </c>
      <c r="O41" s="14">
        <v>1468.35</v>
      </c>
      <c r="P41" s="14">
        <v>903.25</v>
      </c>
    </row>
    <row r="42" spans="1:16">
      <c r="A42" s="10">
        <v>2009</v>
      </c>
      <c r="B42" s="10">
        <v>261</v>
      </c>
      <c r="C42" s="11">
        <v>0.2194557782350247</v>
      </c>
      <c r="D42" s="11">
        <v>0.2106999959435686</v>
      </c>
      <c r="E42" s="11">
        <v>0.01264852232776906</v>
      </c>
      <c r="F42" s="11">
        <v>0.01687674585581443</v>
      </c>
      <c r="G42" s="11">
        <v>0.2007890671903484</v>
      </c>
      <c r="H42" s="11">
        <v>0.2679100348471495</v>
      </c>
      <c r="I42" s="12">
        <v>0.03001956148720267</v>
      </c>
      <c r="J42" s="13">
        <v>0.7494645256752118</v>
      </c>
      <c r="K42" s="11">
        <v>-0.1338046031151401</v>
      </c>
      <c r="L42" s="11">
        <v>-0.3232488296629406</v>
      </c>
      <c r="M42" s="14">
        <v>882.1499</v>
      </c>
      <c r="N42" s="14">
        <v>1096.2</v>
      </c>
      <c r="O42" s="14">
        <v>903.25</v>
      </c>
      <c r="P42" s="14">
        <v>1115.1</v>
      </c>
    </row>
    <row r="43" spans="1:16">
      <c r="A43" s="10">
        <v>2010</v>
      </c>
      <c r="B43" s="10">
        <v>261</v>
      </c>
      <c r="C43" s="11">
        <v>0.2598278237485622</v>
      </c>
      <c r="D43" s="11">
        <v>0.1202928618135819</v>
      </c>
      <c r="E43" s="11">
        <v>0.009889032041711286</v>
      </c>
      <c r="F43" s="11">
        <v>0.01117972121615761</v>
      </c>
      <c r="G43" s="11">
        <v>0.1569835169371043</v>
      </c>
      <c r="H43" s="11">
        <v>0.1774725723899137</v>
      </c>
      <c r="I43" s="12">
        <v>0.2064614466243936</v>
      </c>
      <c r="J43" s="13">
        <v>0.8845508622718659</v>
      </c>
      <c r="K43" s="11">
        <v>-0.08084890130850492</v>
      </c>
      <c r="L43" s="11">
        <v>-0.1742900160117157</v>
      </c>
      <c r="M43" s="14">
        <v>1097.35</v>
      </c>
      <c r="N43" s="14">
        <v>1421.45</v>
      </c>
      <c r="O43" s="14">
        <v>1115.1</v>
      </c>
      <c r="P43" s="14">
        <v>1257.64</v>
      </c>
    </row>
    <row r="44" spans="1:16">
      <c r="A44" s="10">
        <v>2011</v>
      </c>
      <c r="B44" s="10">
        <v>260</v>
      </c>
      <c r="C44" s="11">
        <v>0.09576096220714786</v>
      </c>
      <c r="D44" s="11">
        <v>-3.180610995528327E-05</v>
      </c>
      <c r="E44" s="11">
        <v>0.01265875579868907</v>
      </c>
      <c r="F44" s="11">
        <v>0.0144829012033796</v>
      </c>
      <c r="G44" s="11">
        <v>0.2009515185049686</v>
      </c>
      <c r="H44" s="11">
        <v>0.2299089290811631</v>
      </c>
      <c r="I44" s="15">
        <v>-0.02874038323187598</v>
      </c>
      <c r="J44" s="13">
        <v>0.8740483430029291</v>
      </c>
      <c r="K44" s="11">
        <v>-0.2059939821893162</v>
      </c>
      <c r="L44" s="11">
        <v>-0.2155256600936831</v>
      </c>
      <c r="M44" s="14">
        <v>1414.3</v>
      </c>
      <c r="N44" s="14">
        <v>1564.3</v>
      </c>
      <c r="O44" s="14">
        <v>1271.87</v>
      </c>
      <c r="P44" s="14">
        <v>1257.6</v>
      </c>
    </row>
    <row r="45" spans="1:16">
      <c r="A45" s="10">
        <v>2012</v>
      </c>
      <c r="B45" s="10">
        <v>261</v>
      </c>
      <c r="C45" s="11">
        <v>0.06834487449963211</v>
      </c>
      <c r="D45" s="11">
        <v>0.1258014102553586</v>
      </c>
      <c r="E45" s="11">
        <v>0.009312485979695601</v>
      </c>
      <c r="F45" s="11">
        <v>0.007865283456948502</v>
      </c>
      <c r="G45" s="11">
        <v>0.1478311319403015</v>
      </c>
      <c r="H45" s="11">
        <v>0.1248575041086968</v>
      </c>
      <c r="I45" s="12">
        <v>0.2659000897358805</v>
      </c>
      <c r="J45" s="13">
        <v>1.183998775208614</v>
      </c>
      <c r="K45" s="11">
        <v>-0.1480768091430065</v>
      </c>
      <c r="L45" s="11">
        <v>-0.104652932275924</v>
      </c>
      <c r="M45" s="14">
        <v>1566.27</v>
      </c>
      <c r="N45" s="14">
        <v>1674.95</v>
      </c>
      <c r="O45" s="14">
        <v>1257.6</v>
      </c>
      <c r="P45" s="14">
        <v>1426.19</v>
      </c>
    </row>
    <row r="46" spans="1:16">
      <c r="A46" s="10">
        <v>2013</v>
      </c>
      <c r="B46" s="10">
        <v>261</v>
      </c>
      <c r="C46" s="11">
        <v>-0.3288474197405186</v>
      </c>
      <c r="D46" s="11">
        <v>0.2592922064940666</v>
      </c>
      <c r="E46" s="11">
        <v>0.01348454478496415</v>
      </c>
      <c r="F46" s="11">
        <v>0.006854811617290996</v>
      </c>
      <c r="G46" s="11">
        <v>0.2140605122635685</v>
      </c>
      <c r="H46" s="11">
        <v>0.1088167609412906</v>
      </c>
      <c r="I46" s="12">
        <v>0.1685361241454046</v>
      </c>
      <c r="J46" s="13">
        <v>1.967164896399181</v>
      </c>
      <c r="K46" s="11">
        <v>-0.3519330238861875</v>
      </c>
      <c r="L46" s="11">
        <v>-0.05927866792160719</v>
      </c>
      <c r="M46" s="14">
        <v>1675.15</v>
      </c>
      <c r="N46" s="14">
        <v>1205.55</v>
      </c>
      <c r="O46" s="14">
        <v>1426.19</v>
      </c>
      <c r="P46" s="14">
        <v>1848.36</v>
      </c>
    </row>
    <row r="47" spans="1:16">
      <c r="A47" s="10">
        <v>2014</v>
      </c>
      <c r="B47" s="10">
        <v>261</v>
      </c>
      <c r="C47" s="11">
        <v>-0.01807958850431694</v>
      </c>
      <c r="D47" s="11">
        <v>0.1078731001583322</v>
      </c>
      <c r="E47" s="11">
        <v>0.00899580838311863</v>
      </c>
      <c r="F47" s="11">
        <v>0.007045486960957328</v>
      </c>
      <c r="G47" s="11">
        <v>0.1428040309423317</v>
      </c>
      <c r="H47" s="11">
        <v>0.111843638184248</v>
      </c>
      <c r="I47" s="15">
        <v>-0.1582414550832487</v>
      </c>
      <c r="J47" s="13">
        <v>1.276818541141164</v>
      </c>
      <c r="K47" s="11">
        <v>-0.1916250312712299</v>
      </c>
      <c r="L47" s="11">
        <v>-0.07689680805473734</v>
      </c>
      <c r="M47" s="14">
        <v>1205.9</v>
      </c>
      <c r="N47" s="14">
        <v>1183.95</v>
      </c>
      <c r="O47" s="14">
        <v>1848.36</v>
      </c>
      <c r="P47" s="14">
        <v>2058.9</v>
      </c>
    </row>
    <row r="48" spans="1:16">
      <c r="A48" s="10">
        <v>2015</v>
      </c>
      <c r="B48" s="10">
        <v>261</v>
      </c>
      <c r="C48" s="11">
        <v>-0.109366445269084</v>
      </c>
      <c r="D48" s="11">
        <v>-0.007292541897383382</v>
      </c>
      <c r="E48" s="11">
        <v>0.008581577940451694</v>
      </c>
      <c r="F48" s="11">
        <v>0.009599294791273123</v>
      </c>
      <c r="G48" s="11">
        <v>0.1362283265217182</v>
      </c>
      <c r="H48" s="11">
        <v>0.1523840806758382</v>
      </c>
      <c r="I48" s="15">
        <v>-0.04880149483463479</v>
      </c>
      <c r="J48" s="13">
        <v>0.8939800398934876</v>
      </c>
      <c r="K48" s="11">
        <v>-0.2132434595139455</v>
      </c>
      <c r="L48" s="11">
        <v>-0.1318473435967717</v>
      </c>
      <c r="M48" s="14">
        <v>1181.975</v>
      </c>
      <c r="N48" s="14">
        <v>1061.295</v>
      </c>
      <c r="O48" s="14">
        <v>2058.9</v>
      </c>
      <c r="P48" s="14">
        <v>2043.94</v>
      </c>
    </row>
    <row r="49" spans="1:16">
      <c r="A49" s="10">
        <v>2016</v>
      </c>
      <c r="B49" s="10">
        <v>261</v>
      </c>
      <c r="C49" s="11">
        <v>0.0818751440388113</v>
      </c>
      <c r="D49" s="11">
        <v>0.09107409027784469</v>
      </c>
      <c r="E49" s="11">
        <v>0.009830298563863955</v>
      </c>
      <c r="F49" s="11">
        <v>0.00811589728959556</v>
      </c>
      <c r="G49" s="11">
        <v>0.1560511518809965</v>
      </c>
      <c r="H49" s="11">
        <v>0.1288358753664781</v>
      </c>
      <c r="I49" s="15">
        <v>-0.3392935823465991</v>
      </c>
      <c r="J49" s="13">
        <v>1.211239892903306</v>
      </c>
      <c r="K49" s="11">
        <v>-0.1916405242245968</v>
      </c>
      <c r="L49" s="11">
        <v>-0.1110662095025078</v>
      </c>
      <c r="M49" s="14">
        <v>1060.74</v>
      </c>
      <c r="N49" s="14">
        <v>1151.845</v>
      </c>
      <c r="O49" s="14">
        <v>2043.94</v>
      </c>
      <c r="P49" s="14">
        <v>2238.83</v>
      </c>
    </row>
    <row r="50" spans="1:16">
      <c r="A50" s="10">
        <v>2017</v>
      </c>
      <c r="B50" s="10">
        <v>260</v>
      </c>
      <c r="C50" s="11">
        <v>0.1229588770144127</v>
      </c>
      <c r="D50" s="11">
        <v>0.1774762111462598</v>
      </c>
      <c r="E50" s="11">
        <v>0.006236046832234283</v>
      </c>
      <c r="F50" s="11">
        <v>0.004140817587384565</v>
      </c>
      <c r="G50" s="11">
        <v>0.09899417449346425</v>
      </c>
      <c r="H50" s="11">
        <v>0.06573344136421218</v>
      </c>
      <c r="I50" s="15">
        <v>-0.2291223844716022</v>
      </c>
      <c r="J50" s="13">
        <v>1.505994094314382</v>
      </c>
      <c r="K50" s="11">
        <v>-0.08282104733186273</v>
      </c>
      <c r="L50" s="11">
        <v>-0.02836646339266793</v>
      </c>
      <c r="M50" s="14">
        <v>1151.845</v>
      </c>
      <c r="N50" s="14">
        <v>1302.55</v>
      </c>
      <c r="O50" s="14">
        <v>2238.83</v>
      </c>
      <c r="P50" s="14">
        <v>2673.61</v>
      </c>
    </row>
    <row r="51" spans="1:16">
      <c r="A51" s="10">
        <v>2018</v>
      </c>
      <c r="B51" s="10">
        <v>261</v>
      </c>
      <c r="C51" s="11">
        <v>-0.01526310201428289</v>
      </c>
      <c r="D51" s="11">
        <v>-0.06440263421024578</v>
      </c>
      <c r="E51" s="11">
        <v>0.006133842093572562</v>
      </c>
      <c r="F51" s="11">
        <v>0.01056220245346519</v>
      </c>
      <c r="G51" s="11">
        <v>0.09737172456559669</v>
      </c>
      <c r="H51" s="11">
        <v>0.1676697659339109</v>
      </c>
      <c r="I51" s="15">
        <v>-0.050300400373465</v>
      </c>
      <c r="J51" s="13">
        <v>0.5807351374485544</v>
      </c>
      <c r="K51" s="11">
        <v>-0.1455778441994349</v>
      </c>
      <c r="L51" s="11">
        <v>-0.2203750592250094</v>
      </c>
      <c r="M51" s="14">
        <v>1302.55</v>
      </c>
      <c r="N51" s="14">
        <v>1282.82</v>
      </c>
      <c r="O51" s="14">
        <v>2673.61</v>
      </c>
      <c r="P51" s="14">
        <v>2506.85</v>
      </c>
    </row>
    <row r="52" spans="1:16">
      <c r="A52" s="10">
        <v>2019</v>
      </c>
      <c r="B52" s="10">
        <v>261</v>
      </c>
      <c r="C52" s="11">
        <v>0.1679342691961107</v>
      </c>
      <c r="D52" s="11">
        <v>0.2536966092325736</v>
      </c>
      <c r="E52" s="11">
        <v>0.007086691565661403</v>
      </c>
      <c r="F52" s="11">
        <v>0.007727580675766525</v>
      </c>
      <c r="G52" s="11">
        <v>0.1124977410057542</v>
      </c>
      <c r="H52" s="11">
        <v>0.1226715402256001</v>
      </c>
      <c r="I52" s="15">
        <v>-0.2822232506563812</v>
      </c>
      <c r="J52" s="13">
        <v>0.9170647144306197</v>
      </c>
      <c r="K52" s="11">
        <v>-0.06537187957716162</v>
      </c>
      <c r="L52" s="11">
        <v>-0.0708099204250545</v>
      </c>
      <c r="M52" s="14">
        <v>1282.615</v>
      </c>
      <c r="N52" s="14">
        <v>1517.395</v>
      </c>
      <c r="O52" s="14">
        <v>2506.85</v>
      </c>
      <c r="P52" s="14">
        <v>3230.78</v>
      </c>
    </row>
    <row r="53" spans="1:16">
      <c r="A53" s="10">
        <v>2020</v>
      </c>
      <c r="B53" s="10">
        <v>262</v>
      </c>
      <c r="C53" s="11">
        <v>0.2234246515182655</v>
      </c>
      <c r="D53" s="11">
        <v>0.1506496038704534</v>
      </c>
      <c r="E53" s="11">
        <v>0.01193172434227627</v>
      </c>
      <c r="F53" s="11">
        <v>0.02147126775304175</v>
      </c>
      <c r="G53" s="11">
        <v>0.1894102519310324</v>
      </c>
      <c r="H53" s="11">
        <v>0.3408458088469745</v>
      </c>
      <c r="I53" s="12">
        <v>0.1383604509662362</v>
      </c>
      <c r="J53" s="13">
        <v>0.5557065600183738</v>
      </c>
      <c r="K53" s="11">
        <v>-0.1494158419514066</v>
      </c>
      <c r="L53" s="11">
        <v>-0.4143791053580986</v>
      </c>
      <c r="M53" s="14">
        <v>1517.295</v>
      </c>
      <c r="N53" s="14">
        <v>1897.277</v>
      </c>
      <c r="O53" s="14">
        <v>3230.78</v>
      </c>
      <c r="P53" s="14">
        <v>3756.07</v>
      </c>
    </row>
    <row r="54" spans="1:16">
      <c r="A54" s="10">
        <v>2021</v>
      </c>
      <c r="B54" s="10">
        <v>261</v>
      </c>
      <c r="C54" s="11">
        <v>-0.03677226289822444</v>
      </c>
      <c r="D54" s="11">
        <v>0.2381719474632457</v>
      </c>
      <c r="E54" s="11">
        <v>0.008390063589399642</v>
      </c>
      <c r="F54" s="11">
        <v>0.008113249272600898</v>
      </c>
      <c r="G54" s="11">
        <v>0.1331881304494163</v>
      </c>
      <c r="H54" s="11">
        <v>0.128793839399866</v>
      </c>
      <c r="I54" s="12">
        <v>0.1316553645667959</v>
      </c>
      <c r="J54" s="13">
        <v>1.034118798461372</v>
      </c>
      <c r="K54" s="11">
        <v>-0.1477316272407007</v>
      </c>
      <c r="L54" s="11">
        <v>-0.05353298640087475</v>
      </c>
      <c r="M54" s="14">
        <v>1898.6</v>
      </c>
      <c r="N54" s="14">
        <v>1828.777</v>
      </c>
      <c r="O54" s="14">
        <v>3756.07</v>
      </c>
      <c r="P54" s="14">
        <v>4766.18</v>
      </c>
    </row>
    <row r="55" spans="1:16">
      <c r="A55" s="10">
        <v>2022</v>
      </c>
      <c r="B55" s="10">
        <v>260</v>
      </c>
      <c r="C55" s="11">
        <v>-0.002231847466038994</v>
      </c>
      <c r="D55" s="11">
        <v>-0.2162029956948462</v>
      </c>
      <c r="E55" s="11">
        <v>0.009391498264665982</v>
      </c>
      <c r="F55" s="11">
        <v>0.01497273777963782</v>
      </c>
      <c r="G55" s="11">
        <v>0.1490854130796051</v>
      </c>
      <c r="H55" s="11">
        <v>0.2376848436642185</v>
      </c>
      <c r="I55" s="12">
        <v>0.1841393659968647</v>
      </c>
      <c r="J55" s="13">
        <v>0.627239881101635</v>
      </c>
      <c r="K55" s="11">
        <v>-0.2354714258754533</v>
      </c>
      <c r="L55" s="11">
        <v>-0.2933661471607398</v>
      </c>
      <c r="M55" s="14">
        <v>1801.395</v>
      </c>
      <c r="N55" s="14">
        <v>1824.7</v>
      </c>
      <c r="O55" s="14">
        <v>4796.56</v>
      </c>
      <c r="P55" s="14">
        <v>3839.5</v>
      </c>
    </row>
    <row r="56" spans="1:16">
      <c r="A56" s="10">
        <v>2023</v>
      </c>
      <c r="B56" s="10">
        <v>260</v>
      </c>
      <c r="C56" s="11">
        <v>0.122646269341518</v>
      </c>
      <c r="D56" s="11">
        <v>0.2169685150636922</v>
      </c>
      <c r="E56" s="11">
        <v>0.008366920414857334</v>
      </c>
      <c r="F56" s="11">
        <v>0.008082278696298477</v>
      </c>
      <c r="G56" s="11">
        <v>0.1328207439430913</v>
      </c>
      <c r="H56" s="11">
        <v>0.1283021967427266</v>
      </c>
      <c r="I56" s="15">
        <v>-0.0271494321982413</v>
      </c>
      <c r="J56" s="13">
        <v>1.035218003394169</v>
      </c>
      <c r="K56" s="11">
        <v>-0.1195062786438974</v>
      </c>
      <c r="L56" s="11">
        <v>-0.1084388088636665</v>
      </c>
      <c r="M56" s="14">
        <v>1823.945</v>
      </c>
      <c r="N56" s="14">
        <v>2062.795</v>
      </c>
      <c r="O56" s="14">
        <v>3839.5</v>
      </c>
      <c r="P56" s="14">
        <v>4769.83</v>
      </c>
    </row>
    <row r="57" spans="1:16">
      <c r="A57" s="10">
        <v>2024</v>
      </c>
      <c r="B57" s="10">
        <v>262</v>
      </c>
      <c r="C57" s="11">
        <v>0.2408780744260434</v>
      </c>
      <c r="D57" s="11">
        <v>0.2095232695268979</v>
      </c>
      <c r="E57" s="11">
        <v>0.009388630812878081</v>
      </c>
      <c r="F57" s="11">
        <v>0.007826311775249409</v>
      </c>
      <c r="G57" s="11">
        <v>0.1490398936936416</v>
      </c>
      <c r="H57" s="11">
        <v>0.1242388478409982</v>
      </c>
      <c r="I57" s="12">
        <v>0.2296006522926687</v>
      </c>
      <c r="J57" s="13">
        <v>1.199623920244205</v>
      </c>
      <c r="K57" s="11">
        <v>-0.08417101782124334</v>
      </c>
      <c r="L57" s="11">
        <v>-0.08866885065669544</v>
      </c>
      <c r="M57" s="14">
        <v>2062.795</v>
      </c>
      <c r="N57" s="14">
        <v>2624.63</v>
      </c>
      <c r="O57" s="14">
        <v>4769.83</v>
      </c>
      <c r="P57" s="14">
        <v>5881.63</v>
      </c>
    </row>
    <row r="58" spans="1:16">
      <c r="A58" s="10">
        <v>2025</v>
      </c>
      <c r="B58" s="10">
        <v>261</v>
      </c>
      <c r="C58" s="11">
        <v>0.4971791750429672</v>
      </c>
      <c r="D58" s="11">
        <v>0.1517575677126213</v>
      </c>
      <c r="E58" s="11">
        <v>0.01193872992092028</v>
      </c>
      <c r="F58" s="11">
        <v>0.01149594960287532</v>
      </c>
      <c r="G58" s="11">
        <v>0.1895214620443253</v>
      </c>
      <c r="H58" s="11">
        <v>0.1824925424024391</v>
      </c>
      <c r="I58" s="12">
        <v>0.007335570898067249</v>
      </c>
      <c r="J58" s="13">
        <v>1.038516202083402</v>
      </c>
      <c r="K58" s="11">
        <v>-0.102933787538289</v>
      </c>
      <c r="L58" s="11">
        <v>-0.2095144483094234</v>
      </c>
      <c r="M58" s="14">
        <v>2624.63</v>
      </c>
      <c r="N58" s="14">
        <v>4315.094</v>
      </c>
      <c r="O58" s="14">
        <v>5881.63</v>
      </c>
      <c r="P58" s="14">
        <v>6845.5</v>
      </c>
    </row>
    <row r="59" spans="1:16">
      <c r="A59" s="10">
        <v>2026</v>
      </c>
      <c r="B59" s="10">
        <v>25</v>
      </c>
      <c r="C59" s="11">
        <v>0.1400109663466505</v>
      </c>
      <c r="D59" s="11">
        <v>0.005422420561027985</v>
      </c>
      <c r="E59" s="11">
        <v>0.02926964526893288</v>
      </c>
      <c r="F59" s="11">
        <v>0.006328256889984472</v>
      </c>
      <c r="G59" s="11">
        <v>0.464641214068048</v>
      </c>
      <c r="H59" s="11">
        <v>0.1004579637805797</v>
      </c>
      <c r="I59" s="12">
        <v>0.01307054617600782</v>
      </c>
      <c r="J59" s="13">
        <v>4.625230261315246</v>
      </c>
      <c r="K59" s="11">
        <v>-0.1460844707537172</v>
      </c>
      <c r="L59" s="11">
        <v>-0.02619698195935566</v>
      </c>
      <c r="M59" s="14">
        <v>4315.094</v>
      </c>
      <c r="N59" s="14">
        <v>4963.594</v>
      </c>
      <c r="O59" s="14">
        <v>6845.5</v>
      </c>
      <c r="P59" s="14">
        <v>6882.72</v>
      </c>
    </row>
  </sheetData>
  <mergeCells count="1">
    <mergeCell ref="A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3"/>
  <sheetViews>
    <sheetView showGridLines="0" workbookViewId="0"/>
  </sheetViews>
  <sheetFormatPr defaultRowHeight="15"/>
  <cols>
    <col min="1" max="1" width="8.7109375" customWidth="1"/>
    <col min="2" max="2" width="14.7109375" customWidth="1"/>
    <col min="3" max="3" width="60.7109375" customWidth="1"/>
  </cols>
  <sheetData>
    <row r="1" spans="1:3">
      <c r="A1" s="6" t="s">
        <v>33</v>
      </c>
      <c r="B1" s="6"/>
      <c r="C1" s="6"/>
    </row>
    <row r="4" spans="1:3">
      <c r="A4" s="2" t="s">
        <v>34</v>
      </c>
    </row>
    <row r="5" spans="1:3" ht="100" customHeight="1">
      <c r="A5" s="3" t="s">
        <v>35</v>
      </c>
      <c r="B5" s="3"/>
      <c r="C5" s="3"/>
    </row>
    <row r="7" spans="1:3">
      <c r="A7" s="7" t="s">
        <v>17</v>
      </c>
      <c r="B7" s="7" t="s">
        <v>36</v>
      </c>
      <c r="C7" s="7" t="s">
        <v>37</v>
      </c>
    </row>
    <row r="8" spans="1:3">
      <c r="A8" s="10">
        <v>1971</v>
      </c>
      <c r="B8" s="12">
        <v>0.009076354569947067</v>
      </c>
      <c r="C8" s="16" t="s">
        <v>38</v>
      </c>
    </row>
    <row r="9" spans="1:3">
      <c r="A9" s="10">
        <v>1972</v>
      </c>
      <c r="B9" s="15">
        <v>-0.07789176148426194</v>
      </c>
      <c r="C9" s="16" t="s">
        <v>39</v>
      </c>
    </row>
    <row r="10" spans="1:3">
      <c r="A10" s="10">
        <v>1973</v>
      </c>
      <c r="B10" s="12">
        <v>0.01909090815443949</v>
      </c>
      <c r="C10" s="16" t="s">
        <v>38</v>
      </c>
    </row>
    <row r="11" spans="1:3">
      <c r="A11" s="10">
        <v>1974</v>
      </c>
      <c r="B11" s="15">
        <v>-0.02399071989771109</v>
      </c>
      <c r="C11" s="16" t="s">
        <v>38</v>
      </c>
    </row>
    <row r="12" spans="1:3">
      <c r="A12" s="10">
        <v>1975</v>
      </c>
      <c r="B12" s="15">
        <v>-0.1135130135416043</v>
      </c>
      <c r="C12" s="16" t="s">
        <v>39</v>
      </c>
    </row>
    <row r="13" spans="1:3">
      <c r="A13" s="10">
        <v>1976</v>
      </c>
      <c r="B13" s="12">
        <v>0.05687561200084758</v>
      </c>
      <c r="C13" s="16" t="s">
        <v>40</v>
      </c>
    </row>
    <row r="14" spans="1:3">
      <c r="A14" s="10">
        <v>1977</v>
      </c>
      <c r="B14" s="15">
        <v>-0.01292400406296275</v>
      </c>
      <c r="C14" s="16" t="s">
        <v>38</v>
      </c>
    </row>
    <row r="15" spans="1:3">
      <c r="A15" s="10">
        <v>1978</v>
      </c>
      <c r="B15" s="15">
        <v>-0.2593086920385285</v>
      </c>
      <c r="C15" s="16" t="s">
        <v>41</v>
      </c>
    </row>
    <row r="16" spans="1:3">
      <c r="A16" s="10">
        <v>1979</v>
      </c>
      <c r="B16" s="15">
        <v>-0.1834623090862749</v>
      </c>
      <c r="C16" s="16" t="s">
        <v>39</v>
      </c>
    </row>
    <row r="17" spans="1:3">
      <c r="A17" s="10">
        <v>1980</v>
      </c>
      <c r="B17" s="12">
        <v>0.1295239004739936</v>
      </c>
      <c r="C17" s="16" t="s">
        <v>40</v>
      </c>
    </row>
    <row r="18" spans="1:3">
      <c r="A18" s="10">
        <v>1981</v>
      </c>
      <c r="B18" s="12">
        <v>0.06301339502862592</v>
      </c>
      <c r="C18" s="16" t="s">
        <v>40</v>
      </c>
    </row>
    <row r="19" spans="1:3">
      <c r="A19" s="10">
        <v>1982</v>
      </c>
      <c r="B19" s="12">
        <v>0.242621453441557</v>
      </c>
      <c r="C19" s="16" t="s">
        <v>42</v>
      </c>
    </row>
    <row r="20" spans="1:3">
      <c r="A20" s="10">
        <v>1983</v>
      </c>
      <c r="B20" s="12">
        <v>0.1319237082700245</v>
      </c>
      <c r="C20" s="16" t="s">
        <v>40</v>
      </c>
    </row>
    <row r="21" spans="1:3">
      <c r="A21" s="10">
        <v>1984</v>
      </c>
      <c r="B21" s="15">
        <v>-0.0833524456693148</v>
      </c>
      <c r="C21" s="16" t="s">
        <v>39</v>
      </c>
    </row>
    <row r="22" spans="1:3">
      <c r="A22" s="10">
        <v>1985</v>
      </c>
      <c r="B22" s="12">
        <v>0.01737254956283801</v>
      </c>
      <c r="C22" s="16" t="s">
        <v>38</v>
      </c>
    </row>
    <row r="23" spans="1:3">
      <c r="A23" s="10">
        <v>1986</v>
      </c>
      <c r="B23" s="12">
        <v>0.01198643731136147</v>
      </c>
      <c r="C23" s="16" t="s">
        <v>38</v>
      </c>
    </row>
    <row r="24" spans="1:3">
      <c r="A24" s="10">
        <v>1987</v>
      </c>
      <c r="B24" s="15">
        <v>-0.2936824419003539</v>
      </c>
      <c r="C24" s="16" t="s">
        <v>41</v>
      </c>
    </row>
    <row r="25" spans="1:3">
      <c r="A25" s="10">
        <v>1988</v>
      </c>
      <c r="B25" s="15">
        <v>-0.2025775703651215</v>
      </c>
      <c r="C25" s="16" t="s">
        <v>41</v>
      </c>
    </row>
    <row r="26" spans="1:3">
      <c r="A26" s="10">
        <v>1989</v>
      </c>
      <c r="B26" s="15">
        <v>-0.08504410644648201</v>
      </c>
      <c r="C26" s="16" t="s">
        <v>39</v>
      </c>
    </row>
    <row r="27" spans="1:3">
      <c r="A27" s="10">
        <v>1990</v>
      </c>
      <c r="B27" s="15">
        <v>-0.3130000869773901</v>
      </c>
      <c r="C27" s="16" t="s">
        <v>41</v>
      </c>
    </row>
    <row r="28" spans="1:3">
      <c r="A28" s="10">
        <v>1991</v>
      </c>
      <c r="B28" s="15">
        <v>-0.3266107734967155</v>
      </c>
      <c r="C28" s="16" t="s">
        <v>41</v>
      </c>
    </row>
    <row r="29" spans="1:3">
      <c r="A29" s="10">
        <v>1992</v>
      </c>
      <c r="B29" s="15">
        <v>-0.01265423156324004</v>
      </c>
      <c r="C29" s="16" t="s">
        <v>38</v>
      </c>
    </row>
    <row r="30" spans="1:3">
      <c r="A30" s="10">
        <v>1993</v>
      </c>
      <c r="B30" s="15">
        <v>-0.2223568091800767</v>
      </c>
      <c r="C30" s="16" t="s">
        <v>41</v>
      </c>
    </row>
    <row r="31" spans="1:3">
      <c r="A31" s="10">
        <v>1994</v>
      </c>
      <c r="B31" s="15">
        <v>-0.202924954894448</v>
      </c>
      <c r="C31" s="16" t="s">
        <v>41</v>
      </c>
    </row>
    <row r="32" spans="1:3">
      <c r="A32" s="10">
        <v>1995</v>
      </c>
      <c r="B32" s="15">
        <v>-0.1222300472080301</v>
      </c>
      <c r="C32" s="16" t="s">
        <v>39</v>
      </c>
    </row>
    <row r="33" spans="1:3">
      <c r="A33" s="10">
        <v>1996</v>
      </c>
      <c r="B33" s="15">
        <v>-0.1540400778305566</v>
      </c>
      <c r="C33" s="16" t="s">
        <v>39</v>
      </c>
    </row>
    <row r="34" spans="1:3">
      <c r="A34" s="10">
        <v>1997</v>
      </c>
      <c r="B34" s="15">
        <v>-0.1720226037456908</v>
      </c>
      <c r="C34" s="16" t="s">
        <v>39</v>
      </c>
    </row>
    <row r="35" spans="1:3">
      <c r="A35" s="10">
        <v>1998</v>
      </c>
      <c r="B35" s="15">
        <v>-0.001332252813818866</v>
      </c>
      <c r="C35" s="16" t="s">
        <v>38</v>
      </c>
    </row>
    <row r="36" spans="1:3">
      <c r="A36" s="10">
        <v>1999</v>
      </c>
      <c r="B36" s="15">
        <v>-0.002206848852024095</v>
      </c>
      <c r="C36" s="16" t="s">
        <v>38</v>
      </c>
    </row>
    <row r="37" spans="1:3">
      <c r="A37" s="10">
        <v>2000</v>
      </c>
      <c r="B37" s="15">
        <v>-0.03971580165611863</v>
      </c>
      <c r="C37" s="16" t="s">
        <v>38</v>
      </c>
    </row>
    <row r="38" spans="1:3">
      <c r="A38" s="10">
        <v>2001</v>
      </c>
      <c r="B38" s="15">
        <v>-0.08334147213764827</v>
      </c>
      <c r="C38" s="16" t="s">
        <v>39</v>
      </c>
    </row>
    <row r="39" spans="1:3">
      <c r="A39" s="10">
        <v>2002</v>
      </c>
      <c r="B39" s="15">
        <v>-0.3164977077321288</v>
      </c>
      <c r="C39" s="16" t="s">
        <v>41</v>
      </c>
    </row>
    <row r="40" spans="1:3">
      <c r="A40" s="10">
        <v>2003</v>
      </c>
      <c r="B40" s="15">
        <v>-0.3638978430562975</v>
      </c>
      <c r="C40" s="16" t="s">
        <v>41</v>
      </c>
    </row>
    <row r="41" spans="1:3">
      <c r="A41" s="10">
        <v>2004</v>
      </c>
      <c r="B41" s="12">
        <v>0.08174743316141374</v>
      </c>
      <c r="C41" s="16" t="s">
        <v>40</v>
      </c>
    </row>
    <row r="42" spans="1:3">
      <c r="A42" s="10">
        <v>2005</v>
      </c>
      <c r="B42" s="15">
        <v>-0.00194445349459725</v>
      </c>
      <c r="C42" s="16" t="s">
        <v>38</v>
      </c>
    </row>
    <row r="43" spans="1:3">
      <c r="A43" s="10">
        <v>2006</v>
      </c>
      <c r="B43" s="12">
        <v>0.1349255460586931</v>
      </c>
      <c r="C43" s="16" t="s">
        <v>40</v>
      </c>
    </row>
    <row r="44" spans="1:3">
      <c r="A44" s="10">
        <v>2007</v>
      </c>
      <c r="B44" s="12">
        <v>0.2992892816538317</v>
      </c>
      <c r="C44" s="16" t="s">
        <v>42</v>
      </c>
    </row>
    <row r="45" spans="1:3">
      <c r="A45" s="10">
        <v>2008</v>
      </c>
      <c r="B45" s="15">
        <v>-0.001599055575645775</v>
      </c>
      <c r="C45" s="16" t="s">
        <v>38</v>
      </c>
    </row>
    <row r="46" spans="1:3">
      <c r="A46" s="10">
        <v>2009</v>
      </c>
      <c r="B46" s="12">
        <v>0.03001956148720267</v>
      </c>
      <c r="C46" s="16" t="s">
        <v>38</v>
      </c>
    </row>
    <row r="47" spans="1:3">
      <c r="A47" s="10">
        <v>2010</v>
      </c>
      <c r="B47" s="12">
        <v>0.2064614466243936</v>
      </c>
      <c r="C47" s="16" t="s">
        <v>42</v>
      </c>
    </row>
    <row r="48" spans="1:3">
      <c r="A48" s="10">
        <v>2011</v>
      </c>
      <c r="B48" s="15">
        <v>-0.02874038323187598</v>
      </c>
      <c r="C48" s="16" t="s">
        <v>38</v>
      </c>
    </row>
    <row r="49" spans="1:3">
      <c r="A49" s="10">
        <v>2012</v>
      </c>
      <c r="B49" s="12">
        <v>0.2659000897358805</v>
      </c>
      <c r="C49" s="16" t="s">
        <v>42</v>
      </c>
    </row>
    <row r="50" spans="1:3">
      <c r="A50" s="10">
        <v>2013</v>
      </c>
      <c r="B50" s="12">
        <v>0.1685361241454046</v>
      </c>
      <c r="C50" s="16" t="s">
        <v>40</v>
      </c>
    </row>
    <row r="51" spans="1:3">
      <c r="A51" s="10">
        <v>2014</v>
      </c>
      <c r="B51" s="15">
        <v>-0.1582414550832487</v>
      </c>
      <c r="C51" s="16" t="s">
        <v>39</v>
      </c>
    </row>
    <row r="52" spans="1:3">
      <c r="A52" s="10">
        <v>2015</v>
      </c>
      <c r="B52" s="15">
        <v>-0.04880149483463479</v>
      </c>
      <c r="C52" s="16" t="s">
        <v>38</v>
      </c>
    </row>
    <row r="53" spans="1:3">
      <c r="A53" s="10">
        <v>2016</v>
      </c>
      <c r="B53" s="15">
        <v>-0.3392935823465991</v>
      </c>
      <c r="C53" s="16" t="s">
        <v>41</v>
      </c>
    </row>
    <row r="54" spans="1:3">
      <c r="A54" s="10">
        <v>2017</v>
      </c>
      <c r="B54" s="15">
        <v>-0.2291223844716022</v>
      </c>
      <c r="C54" s="16" t="s">
        <v>41</v>
      </c>
    </row>
    <row r="55" spans="1:3">
      <c r="A55" s="10">
        <v>2018</v>
      </c>
      <c r="B55" s="15">
        <v>-0.050300400373465</v>
      </c>
      <c r="C55" s="16" t="s">
        <v>39</v>
      </c>
    </row>
    <row r="56" spans="1:3">
      <c r="A56" s="10">
        <v>2019</v>
      </c>
      <c r="B56" s="15">
        <v>-0.2822232506563812</v>
      </c>
      <c r="C56" s="16" t="s">
        <v>41</v>
      </c>
    </row>
    <row r="57" spans="1:3">
      <c r="A57" s="10">
        <v>2020</v>
      </c>
      <c r="B57" s="12">
        <v>0.1383604509662362</v>
      </c>
      <c r="C57" s="16" t="s">
        <v>40</v>
      </c>
    </row>
    <row r="58" spans="1:3">
      <c r="A58" s="10">
        <v>2021</v>
      </c>
      <c r="B58" s="12">
        <v>0.1316553645667959</v>
      </c>
      <c r="C58" s="16" t="s">
        <v>40</v>
      </c>
    </row>
    <row r="59" spans="1:3">
      <c r="A59" s="10">
        <v>2022</v>
      </c>
      <c r="B59" s="12">
        <v>0.1841393659968647</v>
      </c>
      <c r="C59" s="16" t="s">
        <v>40</v>
      </c>
    </row>
    <row r="60" spans="1:3">
      <c r="A60" s="10">
        <v>2023</v>
      </c>
      <c r="B60" s="15">
        <v>-0.0271494321982413</v>
      </c>
      <c r="C60" s="16" t="s">
        <v>38</v>
      </c>
    </row>
    <row r="61" spans="1:3">
      <c r="A61" s="10">
        <v>2024</v>
      </c>
      <c r="B61" s="12">
        <v>0.2296006522926687</v>
      </c>
      <c r="C61" s="16" t="s">
        <v>42</v>
      </c>
    </row>
    <row r="62" spans="1:3">
      <c r="A62" s="10">
        <v>2025</v>
      </c>
      <c r="B62" s="12">
        <v>0.007335570898067249</v>
      </c>
      <c r="C62" s="16" t="s">
        <v>38</v>
      </c>
    </row>
    <row r="63" spans="1:3">
      <c r="A63" s="10">
        <v>2026</v>
      </c>
      <c r="B63" s="12">
        <v>0.01307054617600782</v>
      </c>
      <c r="C63" s="16" t="s">
        <v>38</v>
      </c>
    </row>
  </sheetData>
  <mergeCells count="2">
    <mergeCell ref="A1:C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3"/>
  <sheetViews>
    <sheetView showGridLines="0" workbookViewId="0"/>
  </sheetViews>
  <sheetFormatPr defaultRowHeight="15"/>
  <cols>
    <col min="1" max="1" width="8.7109375" customWidth="1"/>
    <col min="2" max="3" width="16.7109375" customWidth="1"/>
    <col min="4" max="4" width="12.7109375" customWidth="1"/>
    <col min="5" max="5" width="60.7109375" customWidth="1"/>
  </cols>
  <sheetData>
    <row r="1" spans="1:5">
      <c r="A1" s="6" t="s">
        <v>43</v>
      </c>
      <c r="B1" s="6"/>
      <c r="C1" s="6"/>
      <c r="D1" s="6"/>
      <c r="E1" s="6"/>
    </row>
    <row r="4" spans="1:5">
      <c r="A4" s="2" t="s">
        <v>34</v>
      </c>
    </row>
    <row r="5" spans="1:5" ht="120" customHeight="1">
      <c r="A5" s="3" t="s">
        <v>44</v>
      </c>
      <c r="B5" s="3"/>
      <c r="C5" s="3"/>
      <c r="D5" s="3"/>
      <c r="E5" s="3"/>
    </row>
    <row r="7" spans="1:5" ht="30" customHeight="1">
      <c r="A7" s="7" t="s">
        <v>17</v>
      </c>
      <c r="B7" s="8" t="s">
        <v>23</v>
      </c>
      <c r="C7" s="9" t="s">
        <v>24</v>
      </c>
      <c r="D7" s="7" t="s">
        <v>26</v>
      </c>
      <c r="E7" s="7" t="s">
        <v>45</v>
      </c>
    </row>
    <row r="8" spans="1:5">
      <c r="A8" s="10">
        <v>1971</v>
      </c>
      <c r="B8" s="11">
        <v>0.0897046749814706</v>
      </c>
      <c r="C8" s="11">
        <v>0.1224265331357325</v>
      </c>
      <c r="D8" s="13">
        <v>0.7327224963727129</v>
      </c>
      <c r="E8" s="16" t="s">
        <v>46</v>
      </c>
    </row>
    <row r="9" spans="1:5">
      <c r="A9" s="10">
        <v>1972</v>
      </c>
      <c r="B9" s="17">
        <v>0.173297237871932</v>
      </c>
      <c r="C9" s="11">
        <v>0.07955518640229378</v>
      </c>
      <c r="D9" s="13">
        <v>2.17832734368322</v>
      </c>
      <c r="E9" s="16" t="s">
        <v>47</v>
      </c>
    </row>
    <row r="10" spans="1:5">
      <c r="A10" s="10">
        <v>1973</v>
      </c>
      <c r="B10" s="17">
        <v>0.3392105819874851</v>
      </c>
      <c r="C10" s="11">
        <v>0.1554849870369502</v>
      </c>
      <c r="D10" s="13">
        <v>2.181629162093144</v>
      </c>
      <c r="E10" s="16" t="s">
        <v>47</v>
      </c>
    </row>
    <row r="11" spans="1:5">
      <c r="A11" s="10">
        <v>1974</v>
      </c>
      <c r="B11" s="17">
        <v>0.3156406329515388</v>
      </c>
      <c r="C11" s="11">
        <v>0.2143995997261947</v>
      </c>
      <c r="D11" s="13">
        <v>1.472207193271988</v>
      </c>
      <c r="E11" s="16" t="s">
        <v>48</v>
      </c>
    </row>
    <row r="12" spans="1:5">
      <c r="A12" s="10">
        <v>1975</v>
      </c>
      <c r="B12" s="17">
        <v>0.2074665105645662</v>
      </c>
      <c r="C12" s="11">
        <v>0.1520866013036432</v>
      </c>
      <c r="D12" s="13">
        <v>1.364134044591845</v>
      </c>
      <c r="E12" s="16" t="s">
        <v>48</v>
      </c>
    </row>
    <row r="13" spans="1:5">
      <c r="A13" s="10">
        <v>1976</v>
      </c>
      <c r="B13" s="17">
        <v>0.2110944091973285</v>
      </c>
      <c r="C13" s="11">
        <v>0.109090863974782</v>
      </c>
      <c r="D13" s="13">
        <v>1.935032884569749</v>
      </c>
      <c r="E13" s="16" t="s">
        <v>47</v>
      </c>
    </row>
    <row r="14" spans="1:5">
      <c r="A14" s="10">
        <v>1977</v>
      </c>
      <c r="B14" s="17">
        <v>0.1328352018809345</v>
      </c>
      <c r="C14" s="11">
        <v>0.089870218226641</v>
      </c>
      <c r="D14" s="13">
        <v>1.478078105317841</v>
      </c>
      <c r="E14" s="16" t="s">
        <v>48</v>
      </c>
    </row>
    <row r="15" spans="1:5">
      <c r="A15" s="10">
        <v>1978</v>
      </c>
      <c r="B15" s="17">
        <v>0.2121906631138085</v>
      </c>
      <c r="C15" s="11">
        <v>0.1238278232815859</v>
      </c>
      <c r="D15" s="13">
        <v>1.713594388486379</v>
      </c>
      <c r="E15" s="16" t="s">
        <v>47</v>
      </c>
    </row>
    <row r="16" spans="1:5">
      <c r="A16" s="10">
        <v>1979</v>
      </c>
      <c r="B16" s="17">
        <v>0.275385797298444</v>
      </c>
      <c r="C16" s="11">
        <v>0.1068357967573815</v>
      </c>
      <c r="D16" s="13">
        <v>2.577654734244467</v>
      </c>
      <c r="E16" s="16" t="s">
        <v>47</v>
      </c>
    </row>
    <row r="17" spans="1:5">
      <c r="A17" s="10">
        <v>1980</v>
      </c>
      <c r="B17" s="17">
        <v>0.4874717205880139</v>
      </c>
      <c r="C17" s="11">
        <v>0.16183275363467</v>
      </c>
      <c r="D17" s="13">
        <v>3.01219443925708</v>
      </c>
      <c r="E17" s="16" t="s">
        <v>47</v>
      </c>
    </row>
    <row r="18" spans="1:5">
      <c r="A18" s="10">
        <v>1981</v>
      </c>
      <c r="B18" s="17">
        <v>0.2866275246945725</v>
      </c>
      <c r="C18" s="11">
        <v>0.1332250091517384</v>
      </c>
      <c r="D18" s="13">
        <v>2.151454344192345</v>
      </c>
      <c r="E18" s="16" t="s">
        <v>47</v>
      </c>
    </row>
    <row r="19" spans="1:5">
      <c r="A19" s="10">
        <v>1982</v>
      </c>
      <c r="B19" s="17">
        <v>0.336881653651192</v>
      </c>
      <c r="C19" s="11">
        <v>0.1806984342180758</v>
      </c>
      <c r="D19" s="13">
        <v>1.864330784652105</v>
      </c>
      <c r="E19" s="16" t="s">
        <v>47</v>
      </c>
    </row>
    <row r="20" spans="1:5">
      <c r="A20" s="10">
        <v>1983</v>
      </c>
      <c r="B20" s="17">
        <v>0.2502369508395197</v>
      </c>
      <c r="C20" s="11">
        <v>0.1313874919367784</v>
      </c>
      <c r="D20" s="13">
        <v>1.904572095492392</v>
      </c>
      <c r="E20" s="16" t="s">
        <v>47</v>
      </c>
    </row>
    <row r="21" spans="1:5">
      <c r="A21" s="10">
        <v>1984</v>
      </c>
      <c r="B21" s="17">
        <v>0.1575256406620276</v>
      </c>
      <c r="C21" s="11">
        <v>0.1250769892215</v>
      </c>
      <c r="D21" s="13">
        <v>1.259429425368274</v>
      </c>
      <c r="E21" s="16" t="s">
        <v>48</v>
      </c>
    </row>
    <row r="22" spans="1:5">
      <c r="A22" s="10">
        <v>1985</v>
      </c>
      <c r="B22" s="17">
        <v>0.1687893885239364</v>
      </c>
      <c r="C22" s="11">
        <v>0.09988617345478602</v>
      </c>
      <c r="D22" s="13">
        <v>1.689817345944679</v>
      </c>
      <c r="E22" s="16" t="s">
        <v>47</v>
      </c>
    </row>
    <row r="23" spans="1:5">
      <c r="A23" s="10">
        <v>1986</v>
      </c>
      <c r="B23" s="17">
        <v>0.1846779686509503</v>
      </c>
      <c r="C23" s="11">
        <v>0.145222032476289</v>
      </c>
      <c r="D23" s="13">
        <v>1.271693871114932</v>
      </c>
      <c r="E23" s="16" t="s">
        <v>48</v>
      </c>
    </row>
    <row r="24" spans="1:5">
      <c r="A24" s="10">
        <v>1987</v>
      </c>
      <c r="B24" s="11">
        <v>0.1540234190586887</v>
      </c>
      <c r="C24" s="11">
        <v>0.3321047268435224</v>
      </c>
      <c r="D24" s="13">
        <v>0.4637796652959407</v>
      </c>
      <c r="E24" s="16" t="s">
        <v>46</v>
      </c>
    </row>
    <row r="25" spans="1:5">
      <c r="A25" s="10">
        <v>1988</v>
      </c>
      <c r="B25" s="11">
        <v>0.1247578788097252</v>
      </c>
      <c r="C25" s="11">
        <v>0.1690219745957705</v>
      </c>
      <c r="D25" s="13">
        <v>0.738116325454685</v>
      </c>
      <c r="E25" s="16" t="s">
        <v>46</v>
      </c>
    </row>
    <row r="26" spans="1:5">
      <c r="A26" s="10">
        <v>1989</v>
      </c>
      <c r="B26" s="17">
        <v>0.1309555131702836</v>
      </c>
      <c r="C26" s="11">
        <v>0.1294136010376324</v>
      </c>
      <c r="D26" s="13">
        <v>1.011914606504172</v>
      </c>
      <c r="E26" s="16" t="s">
        <v>48</v>
      </c>
    </row>
    <row r="27" spans="1:5">
      <c r="A27" s="10">
        <v>1990</v>
      </c>
      <c r="B27" s="17">
        <v>0.1697273602152488</v>
      </c>
      <c r="C27" s="11">
        <v>0.1571798693808666</v>
      </c>
      <c r="D27" s="13">
        <v>1.079828866659623</v>
      </c>
      <c r="E27" s="16" t="s">
        <v>48</v>
      </c>
    </row>
    <row r="28" spans="1:5">
      <c r="A28" s="10">
        <v>1991</v>
      </c>
      <c r="B28" s="11">
        <v>0.1213676404274751</v>
      </c>
      <c r="C28" s="11">
        <v>0.1405324313313116</v>
      </c>
      <c r="D28" s="13">
        <v>0.863627272919981</v>
      </c>
      <c r="E28" s="16" t="s">
        <v>49</v>
      </c>
    </row>
    <row r="29" spans="1:5">
      <c r="A29" s="10">
        <v>1992</v>
      </c>
      <c r="B29" s="11">
        <v>0.07796607629435509</v>
      </c>
      <c r="C29" s="11">
        <v>0.09530231453721418</v>
      </c>
      <c r="D29" s="13">
        <v>0.8180921593872778</v>
      </c>
      <c r="E29" s="16" t="s">
        <v>49</v>
      </c>
    </row>
    <row r="30" spans="1:5">
      <c r="A30" s="10">
        <v>1993</v>
      </c>
      <c r="B30" s="17">
        <v>0.1414885133999891</v>
      </c>
      <c r="C30" s="11">
        <v>0.08469275763796073</v>
      </c>
      <c r="D30" s="13">
        <v>1.670609357234716</v>
      </c>
      <c r="E30" s="16" t="s">
        <v>47</v>
      </c>
    </row>
    <row r="31" spans="1:5">
      <c r="A31" s="10">
        <v>1994</v>
      </c>
      <c r="B31" s="11">
        <v>0.08932015511509557</v>
      </c>
      <c r="C31" s="11">
        <v>0.09699766876413787</v>
      </c>
      <c r="D31" s="13">
        <v>0.9208484724750329</v>
      </c>
      <c r="E31" s="16" t="s">
        <v>49</v>
      </c>
    </row>
    <row r="32" spans="1:5">
      <c r="A32" s="10">
        <v>1995</v>
      </c>
      <c r="B32" s="11">
        <v>0.06311941204465549</v>
      </c>
      <c r="C32" s="11">
        <v>0.07683925520319865</v>
      </c>
      <c r="D32" s="13">
        <v>0.8214474734006527</v>
      </c>
      <c r="E32" s="16" t="s">
        <v>49</v>
      </c>
    </row>
    <row r="33" spans="1:5">
      <c r="A33" s="10">
        <v>1996</v>
      </c>
      <c r="B33" s="11">
        <v>0.05843800121415133</v>
      </c>
      <c r="C33" s="11">
        <v>0.1161788435041606</v>
      </c>
      <c r="D33" s="13">
        <v>0.5030003695299182</v>
      </c>
      <c r="E33" s="16" t="s">
        <v>46</v>
      </c>
    </row>
    <row r="34" spans="1:5">
      <c r="A34" s="10">
        <v>1997</v>
      </c>
      <c r="B34" s="11">
        <v>0.1194711909587497</v>
      </c>
      <c r="C34" s="11">
        <v>0.1789630589278327</v>
      </c>
      <c r="D34" s="13">
        <v>0.6675745915078865</v>
      </c>
      <c r="E34" s="16" t="s">
        <v>46</v>
      </c>
    </row>
    <row r="35" spans="1:5">
      <c r="A35" s="10">
        <v>1998</v>
      </c>
      <c r="B35" s="11">
        <v>0.1263195337757529</v>
      </c>
      <c r="C35" s="11">
        <v>0.1998958947575689</v>
      </c>
      <c r="D35" s="13">
        <v>0.6319266032399091</v>
      </c>
      <c r="E35" s="16" t="s">
        <v>46</v>
      </c>
    </row>
    <row r="36" spans="1:5">
      <c r="A36" s="10">
        <v>1999</v>
      </c>
      <c r="B36" s="11">
        <v>0.1666431484175127</v>
      </c>
      <c r="C36" s="11">
        <v>0.1773654360900722</v>
      </c>
      <c r="D36" s="13">
        <v>0.9395469156283957</v>
      </c>
      <c r="E36" s="16" t="s">
        <v>49</v>
      </c>
    </row>
    <row r="37" spans="1:5">
      <c r="A37" s="10">
        <v>2000</v>
      </c>
      <c r="B37" s="11">
        <v>0.1594594867564336</v>
      </c>
      <c r="C37" s="11">
        <v>0.2188138949709684</v>
      </c>
      <c r="D37" s="13">
        <v>0.7287447937325472</v>
      </c>
      <c r="E37" s="16" t="s">
        <v>46</v>
      </c>
    </row>
    <row r="38" spans="1:5">
      <c r="A38" s="10">
        <v>2001</v>
      </c>
      <c r="B38" s="11">
        <v>0.1438041753680762</v>
      </c>
      <c r="C38" s="11">
        <v>0.2101697124006145</v>
      </c>
      <c r="D38" s="13">
        <v>0.6842288250076879</v>
      </c>
      <c r="E38" s="16" t="s">
        <v>46</v>
      </c>
    </row>
    <row r="39" spans="1:5">
      <c r="A39" s="10">
        <v>2002</v>
      </c>
      <c r="B39" s="11">
        <v>0.1295291950451046</v>
      </c>
      <c r="C39" s="11">
        <v>0.2550800225804226</v>
      </c>
      <c r="D39" s="13">
        <v>0.5077982733997375</v>
      </c>
      <c r="E39" s="16" t="s">
        <v>46</v>
      </c>
    </row>
    <row r="40" spans="1:5">
      <c r="A40" s="10">
        <v>2003</v>
      </c>
      <c r="B40" s="11">
        <v>0.1666879400813075</v>
      </c>
      <c r="C40" s="11">
        <v>0.1674933262694217</v>
      </c>
      <c r="D40" s="13">
        <v>0.9951915326654943</v>
      </c>
      <c r="E40" s="16" t="s">
        <v>49</v>
      </c>
    </row>
    <row r="41" spans="1:5">
      <c r="A41" s="10">
        <v>2004</v>
      </c>
      <c r="B41" s="17">
        <v>0.1505464720462366</v>
      </c>
      <c r="C41" s="11">
        <v>0.1087948855634705</v>
      </c>
      <c r="D41" s="13">
        <v>1.383764239160014</v>
      </c>
      <c r="E41" s="16" t="s">
        <v>48</v>
      </c>
    </row>
    <row r="42" spans="1:5">
      <c r="A42" s="10">
        <v>2005</v>
      </c>
      <c r="B42" s="17">
        <v>0.1237916317700937</v>
      </c>
      <c r="C42" s="11">
        <v>0.1012400804702844</v>
      </c>
      <c r="D42" s="13">
        <v>1.22275319414062</v>
      </c>
      <c r="E42" s="16" t="s">
        <v>48</v>
      </c>
    </row>
    <row r="43" spans="1:5">
      <c r="A43" s="10">
        <v>2006</v>
      </c>
      <c r="B43" s="17">
        <v>0.2346565143652818</v>
      </c>
      <c r="C43" s="11">
        <v>0.09852128466827911</v>
      </c>
      <c r="D43" s="13">
        <v>2.381784963070363</v>
      </c>
      <c r="E43" s="16" t="s">
        <v>47</v>
      </c>
    </row>
    <row r="44" spans="1:5">
      <c r="A44" s="10">
        <v>2007</v>
      </c>
      <c r="B44" s="17">
        <v>0.1659785537235791</v>
      </c>
      <c r="C44" s="11">
        <v>0.1571019203421088</v>
      </c>
      <c r="D44" s="13">
        <v>1.056502386235256</v>
      </c>
      <c r="E44" s="16" t="s">
        <v>48</v>
      </c>
    </row>
    <row r="45" spans="1:5">
      <c r="A45" s="10">
        <v>2008</v>
      </c>
      <c r="B45" s="11">
        <v>0.3093540364765209</v>
      </c>
      <c r="C45" s="11">
        <v>0.403057944951744</v>
      </c>
      <c r="D45" s="13">
        <v>0.7675175253363589</v>
      </c>
      <c r="E45" s="16" t="s">
        <v>46</v>
      </c>
    </row>
    <row r="46" spans="1:5">
      <c r="A46" s="10">
        <v>2009</v>
      </c>
      <c r="B46" s="11">
        <v>0.2007890671903484</v>
      </c>
      <c r="C46" s="11">
        <v>0.2679100348471495</v>
      </c>
      <c r="D46" s="13">
        <v>0.7494645256752118</v>
      </c>
      <c r="E46" s="16" t="s">
        <v>46</v>
      </c>
    </row>
    <row r="47" spans="1:5">
      <c r="A47" s="10">
        <v>2010</v>
      </c>
      <c r="B47" s="11">
        <v>0.1569835169371043</v>
      </c>
      <c r="C47" s="11">
        <v>0.1774725723899137</v>
      </c>
      <c r="D47" s="13">
        <v>0.8845508622718659</v>
      </c>
      <c r="E47" s="16" t="s">
        <v>49</v>
      </c>
    </row>
    <row r="48" spans="1:5">
      <c r="A48" s="10">
        <v>2011</v>
      </c>
      <c r="B48" s="11">
        <v>0.2009515185049686</v>
      </c>
      <c r="C48" s="11">
        <v>0.2299089290811631</v>
      </c>
      <c r="D48" s="13">
        <v>0.8740483430029291</v>
      </c>
      <c r="E48" s="16" t="s">
        <v>49</v>
      </c>
    </row>
    <row r="49" spans="1:5">
      <c r="A49" s="10">
        <v>2012</v>
      </c>
      <c r="B49" s="17">
        <v>0.1478311319403015</v>
      </c>
      <c r="C49" s="11">
        <v>0.1248575041086968</v>
      </c>
      <c r="D49" s="13">
        <v>1.183998775208614</v>
      </c>
      <c r="E49" s="16" t="s">
        <v>48</v>
      </c>
    </row>
    <row r="50" spans="1:5">
      <c r="A50" s="10">
        <v>2013</v>
      </c>
      <c r="B50" s="17">
        <v>0.2140605122635685</v>
      </c>
      <c r="C50" s="11">
        <v>0.1088167609412906</v>
      </c>
      <c r="D50" s="13">
        <v>1.967164896399181</v>
      </c>
      <c r="E50" s="16" t="s">
        <v>47</v>
      </c>
    </row>
    <row r="51" spans="1:5">
      <c r="A51" s="10">
        <v>2014</v>
      </c>
      <c r="B51" s="17">
        <v>0.1428040309423317</v>
      </c>
      <c r="C51" s="11">
        <v>0.111843638184248</v>
      </c>
      <c r="D51" s="13">
        <v>1.276818541141164</v>
      </c>
      <c r="E51" s="16" t="s">
        <v>48</v>
      </c>
    </row>
    <row r="52" spans="1:5">
      <c r="A52" s="10">
        <v>2015</v>
      </c>
      <c r="B52" s="11">
        <v>0.1362283265217182</v>
      </c>
      <c r="C52" s="11">
        <v>0.1523840806758382</v>
      </c>
      <c r="D52" s="13">
        <v>0.8939800398934876</v>
      </c>
      <c r="E52" s="16" t="s">
        <v>49</v>
      </c>
    </row>
    <row r="53" spans="1:5">
      <c r="A53" s="10">
        <v>2016</v>
      </c>
      <c r="B53" s="17">
        <v>0.1560511518809965</v>
      </c>
      <c r="C53" s="11">
        <v>0.1288358753664781</v>
      </c>
      <c r="D53" s="13">
        <v>1.211239892903306</v>
      </c>
      <c r="E53" s="16" t="s">
        <v>48</v>
      </c>
    </row>
    <row r="54" spans="1:5">
      <c r="A54" s="10">
        <v>2017</v>
      </c>
      <c r="B54" s="17">
        <v>0.09899417449346425</v>
      </c>
      <c r="C54" s="11">
        <v>0.06573344136421218</v>
      </c>
      <c r="D54" s="13">
        <v>1.505994094314382</v>
      </c>
      <c r="E54" s="16" t="s">
        <v>47</v>
      </c>
    </row>
    <row r="55" spans="1:5">
      <c r="A55" s="10">
        <v>2018</v>
      </c>
      <c r="B55" s="11">
        <v>0.09737172456559669</v>
      </c>
      <c r="C55" s="11">
        <v>0.1676697659339109</v>
      </c>
      <c r="D55" s="13">
        <v>0.5807351374485544</v>
      </c>
      <c r="E55" s="16" t="s">
        <v>46</v>
      </c>
    </row>
    <row r="56" spans="1:5">
      <c r="A56" s="10">
        <v>2019</v>
      </c>
      <c r="B56" s="11">
        <v>0.1124977410057542</v>
      </c>
      <c r="C56" s="11">
        <v>0.1226715402256001</v>
      </c>
      <c r="D56" s="13">
        <v>0.9170647144306197</v>
      </c>
      <c r="E56" s="16" t="s">
        <v>49</v>
      </c>
    </row>
    <row r="57" spans="1:5">
      <c r="A57" s="10">
        <v>2020</v>
      </c>
      <c r="B57" s="11">
        <v>0.1894102519310324</v>
      </c>
      <c r="C57" s="11">
        <v>0.3408458088469745</v>
      </c>
      <c r="D57" s="13">
        <v>0.5557065600183738</v>
      </c>
      <c r="E57" s="16" t="s">
        <v>46</v>
      </c>
    </row>
    <row r="58" spans="1:5">
      <c r="A58" s="10">
        <v>2021</v>
      </c>
      <c r="B58" s="17">
        <v>0.1331881304494163</v>
      </c>
      <c r="C58" s="11">
        <v>0.128793839399866</v>
      </c>
      <c r="D58" s="13">
        <v>1.034118798461372</v>
      </c>
      <c r="E58" s="16" t="s">
        <v>48</v>
      </c>
    </row>
    <row r="59" spans="1:5">
      <c r="A59" s="10">
        <v>2022</v>
      </c>
      <c r="B59" s="11">
        <v>0.1490854130796051</v>
      </c>
      <c r="C59" s="11">
        <v>0.2376848436642185</v>
      </c>
      <c r="D59" s="13">
        <v>0.627239881101635</v>
      </c>
      <c r="E59" s="16" t="s">
        <v>46</v>
      </c>
    </row>
    <row r="60" spans="1:5">
      <c r="A60" s="10">
        <v>2023</v>
      </c>
      <c r="B60" s="17">
        <v>0.1328207439430913</v>
      </c>
      <c r="C60" s="11">
        <v>0.1283021967427266</v>
      </c>
      <c r="D60" s="13">
        <v>1.035218003394169</v>
      </c>
      <c r="E60" s="16" t="s">
        <v>48</v>
      </c>
    </row>
    <row r="61" spans="1:5">
      <c r="A61" s="10">
        <v>2024</v>
      </c>
      <c r="B61" s="17">
        <v>0.1490398936936416</v>
      </c>
      <c r="C61" s="11">
        <v>0.1242388478409982</v>
      </c>
      <c r="D61" s="13">
        <v>1.199623920244205</v>
      </c>
      <c r="E61" s="16" t="s">
        <v>48</v>
      </c>
    </row>
    <row r="62" spans="1:5">
      <c r="A62" s="10">
        <v>2025</v>
      </c>
      <c r="B62" s="17">
        <v>0.1895214620443253</v>
      </c>
      <c r="C62" s="11">
        <v>0.1824925424024391</v>
      </c>
      <c r="D62" s="13">
        <v>1.038516202083402</v>
      </c>
      <c r="E62" s="16" t="s">
        <v>48</v>
      </c>
    </row>
    <row r="63" spans="1:5">
      <c r="A63" s="10">
        <v>2026</v>
      </c>
      <c r="B63" s="17">
        <v>0.464641214068048</v>
      </c>
      <c r="C63" s="11">
        <v>0.1004579637805797</v>
      </c>
      <c r="D63" s="13">
        <v>4.625230261315246</v>
      </c>
      <c r="E63" s="16" t="s">
        <v>47</v>
      </c>
    </row>
  </sheetData>
  <mergeCells count="2">
    <mergeCell ref="A1:E1"/>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4"/>
  <sheetViews>
    <sheetView showGridLines="0" workbookViewId="0"/>
  </sheetViews>
  <sheetFormatPr defaultRowHeight="15"/>
  <cols>
    <col min="1" max="1" width="30.7109375" customWidth="1"/>
    <col min="2" max="4" width="18.7109375" customWidth="1"/>
    <col min="5" max="18" width="16.7109375" customWidth="1"/>
  </cols>
  <sheetData>
    <row r="1" spans="1:8">
      <c r="A1" s="6" t="s">
        <v>50</v>
      </c>
      <c r="B1" s="6"/>
      <c r="C1" s="6"/>
      <c r="D1" s="6"/>
      <c r="E1" s="6"/>
      <c r="F1" s="6"/>
      <c r="G1" s="6"/>
      <c r="H1" s="6"/>
    </row>
    <row r="4" spans="1:8">
      <c r="A4" s="2" t="s">
        <v>34</v>
      </c>
    </row>
    <row r="5" spans="1:8" ht="100" customHeight="1">
      <c r="A5" s="3" t="s">
        <v>51</v>
      </c>
      <c r="B5" s="3"/>
      <c r="C5" s="3"/>
      <c r="D5" s="3"/>
      <c r="E5" s="3"/>
      <c r="F5" s="3"/>
      <c r="G5" s="3"/>
      <c r="H5" s="3"/>
    </row>
    <row r="7" spans="1:8">
      <c r="A7" s="7" t="s">
        <v>52</v>
      </c>
      <c r="B7" s="7" t="s">
        <v>53</v>
      </c>
      <c r="C7" s="7" t="s">
        <v>54</v>
      </c>
      <c r="D7" s="7" t="s">
        <v>55</v>
      </c>
    </row>
    <row r="8" spans="1:8">
      <c r="A8" s="18" t="s">
        <v>56</v>
      </c>
      <c r="B8" s="10">
        <v>56</v>
      </c>
      <c r="C8" s="10">
        <v>35</v>
      </c>
      <c r="D8" s="10">
        <v>21</v>
      </c>
    </row>
    <row r="9" spans="1:8">
      <c r="A9" s="18" t="s">
        <v>57</v>
      </c>
      <c r="B9" s="11">
        <v>0.08465319019416284</v>
      </c>
      <c r="C9" s="11">
        <v>0.07085416705030677</v>
      </c>
      <c r="D9" s="11">
        <v>0.1076515621005896</v>
      </c>
    </row>
    <row r="10" spans="1:8">
      <c r="A10" s="18" t="s">
        <v>58</v>
      </c>
      <c r="B10" s="11">
        <v>0.07635098931863696</v>
      </c>
      <c r="C10" s="11">
        <v>0.07338331696968362</v>
      </c>
      <c r="D10" s="11">
        <v>0.08129710990022591</v>
      </c>
    </row>
    <row r="11" spans="1:8">
      <c r="A11" s="18" t="s">
        <v>59</v>
      </c>
      <c r="B11" s="11">
        <v>0.06772766920210153</v>
      </c>
      <c r="C11" s="11">
        <v>0.01146801559164077</v>
      </c>
      <c r="D11" s="11">
        <v>0.122646269341518</v>
      </c>
    </row>
    <row r="12" spans="1:8">
      <c r="A12" s="18" t="s">
        <v>60</v>
      </c>
      <c r="B12" s="11">
        <v>0.1185970514354771</v>
      </c>
      <c r="C12" s="11">
        <v>0.1160821483553048</v>
      </c>
      <c r="D12" s="11">
        <v>0.1258014102553586</v>
      </c>
    </row>
    <row r="13" spans="1:8">
      <c r="A13" s="18" t="s">
        <v>61</v>
      </c>
      <c r="B13" s="11">
        <v>0.179084150204417</v>
      </c>
      <c r="C13" s="11">
        <v>0.1784700943264759</v>
      </c>
      <c r="D13" s="11">
        <v>0.1801075766676521</v>
      </c>
    </row>
    <row r="14" spans="1:8">
      <c r="A14" s="18" t="s">
        <v>62</v>
      </c>
      <c r="B14" s="11">
        <v>0.1554747782957841</v>
      </c>
      <c r="C14" s="11">
        <v>0.1470567499658707</v>
      </c>
      <c r="D14" s="11">
        <v>0.1695048255123065</v>
      </c>
    </row>
    <row r="15" spans="1:8">
      <c r="A15" s="18" t="s">
        <v>63</v>
      </c>
      <c r="B15" s="11">
        <v>0.1565173344090504</v>
      </c>
      <c r="C15" s="11">
        <v>0.1575256406620276</v>
      </c>
      <c r="D15" s="11">
        <v>0.1560511518809965</v>
      </c>
    </row>
    <row r="16" spans="1:8">
      <c r="A16" s="18" t="s">
        <v>64</v>
      </c>
      <c r="B16" s="11">
        <v>0.1323062505442584</v>
      </c>
      <c r="C16" s="11">
        <v>0.1332250091517384</v>
      </c>
      <c r="D16" s="11">
        <v>0.1288358753664781</v>
      </c>
    </row>
    <row r="17" spans="1:4">
      <c r="A17" s="18" t="s">
        <v>65</v>
      </c>
      <c r="B17" s="13">
        <v>-0.04041908420224992</v>
      </c>
      <c r="C17" s="13">
        <v>-0.08306546506160996</v>
      </c>
      <c r="D17" s="13">
        <v>0.03065821723001679</v>
      </c>
    </row>
    <row r="18" spans="1:4">
      <c r="A18" s="18" t="s">
        <v>66</v>
      </c>
      <c r="B18" s="13">
        <v>-0.01845736198033692</v>
      </c>
      <c r="C18" s="13">
        <v>-0.07789176148426194</v>
      </c>
      <c r="D18" s="13">
        <v>0.01307054617600782</v>
      </c>
    </row>
    <row r="19" spans="1:4">
      <c r="A19" s="18" t="s">
        <v>67</v>
      </c>
      <c r="B19" s="19">
        <v>0.6071428571428571</v>
      </c>
      <c r="C19" s="19">
        <v>0.7142857142857143</v>
      </c>
      <c r="D19" s="19">
        <v>0.4285714285714285</v>
      </c>
    </row>
    <row r="20" spans="1:4">
      <c r="A20" s="18" t="s">
        <v>68</v>
      </c>
      <c r="B20" s="13">
        <v>1.282253294999056</v>
      </c>
      <c r="C20" s="13">
        <v>1.298276177028499</v>
      </c>
      <c r="D20" s="13">
        <v>1.255548491616652</v>
      </c>
    </row>
    <row r="21" spans="1:4">
      <c r="A21" s="18" t="s">
        <v>69</v>
      </c>
      <c r="B21" s="11">
        <v>0.4874717205880139</v>
      </c>
      <c r="C21" s="11">
        <v>0.4874717205880139</v>
      </c>
      <c r="D21" s="11">
        <v>0.464641214068048</v>
      </c>
    </row>
    <row r="22" spans="1:4">
      <c r="A22" s="18" t="s">
        <v>70</v>
      </c>
      <c r="B22" s="11">
        <v>0.403057944951744</v>
      </c>
      <c r="C22" s="11">
        <v>0.3321047268435224</v>
      </c>
      <c r="D22" s="11">
        <v>0.403057944951744</v>
      </c>
    </row>
    <row r="23" spans="1:4">
      <c r="A23" s="18" t="s">
        <v>71</v>
      </c>
      <c r="B23" s="13">
        <v>0.4727006275962156</v>
      </c>
      <c r="C23" s="13">
        <v>0.3970086266704888</v>
      </c>
      <c r="D23" s="13">
        <v>0.5977070153980044</v>
      </c>
    </row>
    <row r="24" spans="1:4">
      <c r="A24" s="18" t="s">
        <v>72</v>
      </c>
      <c r="B24" s="13">
        <v>0.4910827991237426</v>
      </c>
      <c r="C24" s="13">
        <v>0.4990135916013009</v>
      </c>
      <c r="D24" s="13">
        <v>0.4796153127470907</v>
      </c>
    </row>
  </sheetData>
  <mergeCells count="2">
    <mergeCell ref="A1:H1"/>
    <mergeCell ref="A5:H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8"/>
  <sheetViews>
    <sheetView showGridLines="0" workbookViewId="0"/>
  </sheetViews>
  <sheetFormatPr defaultRowHeight="15"/>
  <cols>
    <col min="1" max="1" width="30.7109375" customWidth="1"/>
    <col min="2" max="2" width="12.7109375" customWidth="1"/>
    <col min="3" max="3" width="50.7109375" customWidth="1"/>
    <col min="4" max="9" width="16.7109375" customWidth="1"/>
  </cols>
  <sheetData>
    <row r="1" spans="1:9">
      <c r="A1" s="6" t="s">
        <v>73</v>
      </c>
      <c r="B1" s="6"/>
      <c r="C1" s="6"/>
      <c r="D1" s="6"/>
      <c r="E1" s="6"/>
      <c r="F1" s="6"/>
      <c r="G1" s="6"/>
      <c r="H1" s="6"/>
      <c r="I1" s="6"/>
    </row>
    <row r="4" spans="1:9">
      <c r="A4" s="2" t="s">
        <v>34</v>
      </c>
    </row>
    <row r="5" spans="1:9" ht="80" customHeight="1">
      <c r="A5" s="3" t="s">
        <v>74</v>
      </c>
      <c r="B5" s="3"/>
      <c r="C5" s="3"/>
      <c r="D5" s="3"/>
      <c r="E5" s="3"/>
      <c r="F5" s="3"/>
      <c r="G5" s="3"/>
      <c r="H5" s="3"/>
      <c r="I5" s="3"/>
    </row>
    <row r="7" spans="1:9" ht="30" customHeight="1">
      <c r="A7" s="7" t="s">
        <v>75</v>
      </c>
      <c r="B7" s="7" t="s">
        <v>76</v>
      </c>
      <c r="C7" s="7" t="s">
        <v>77</v>
      </c>
      <c r="D7" s="7" t="s">
        <v>78</v>
      </c>
      <c r="E7" s="7" t="s">
        <v>79</v>
      </c>
      <c r="F7" s="7" t="s">
        <v>80</v>
      </c>
      <c r="G7" s="7" t="s">
        <v>81</v>
      </c>
      <c r="H7" s="7" t="s">
        <v>82</v>
      </c>
      <c r="I7" s="7" t="s">
        <v>83</v>
      </c>
    </row>
    <row r="8" spans="1:9" ht="35" customHeight="1">
      <c r="A8" s="16" t="s">
        <v>84</v>
      </c>
      <c r="B8" s="20" t="s">
        <v>85</v>
      </c>
      <c r="C8" s="16" t="s">
        <v>86</v>
      </c>
      <c r="D8" s="15">
        <v>-0.002449905871635802</v>
      </c>
      <c r="E8" s="11">
        <v>1.052311355080319</v>
      </c>
      <c r="F8" s="11">
        <v>-0.5433989892419968</v>
      </c>
      <c r="G8" s="11">
        <v>0.3274256074695119</v>
      </c>
      <c r="H8" s="11">
        <v>0.1849422933815725</v>
      </c>
      <c r="I8" s="13">
        <v>1.826918177682566</v>
      </c>
    </row>
    <row r="9" spans="1:9" ht="35" customHeight="1">
      <c r="A9" s="16" t="s">
        <v>87</v>
      </c>
      <c r="B9" s="20" t="s">
        <v>88</v>
      </c>
      <c r="C9" s="16" t="s">
        <v>89</v>
      </c>
      <c r="D9" s="15">
        <v>-0.02696920430614064</v>
      </c>
      <c r="E9" s="11">
        <v>0.9527847903047258</v>
      </c>
      <c r="F9" s="11">
        <v>0.3453952520907798</v>
      </c>
      <c r="G9" s="11">
        <v>0.3814287589432289</v>
      </c>
      <c r="H9" s="11">
        <v>0.1343342751960257</v>
      </c>
      <c r="I9" s="13">
        <v>2.794924586750773</v>
      </c>
    </row>
    <row r="10" spans="1:9" ht="35" customHeight="1">
      <c r="A10" s="16" t="s">
        <v>90</v>
      </c>
      <c r="B10" s="20" t="s">
        <v>91</v>
      </c>
      <c r="C10" s="16" t="s">
        <v>92</v>
      </c>
      <c r="D10" s="15">
        <v>-0.2936824419003539</v>
      </c>
      <c r="E10" s="11">
        <v>0.219266184768542</v>
      </c>
      <c r="F10" s="11">
        <v>0.02007221195528872</v>
      </c>
      <c r="G10" s="11">
        <v>0.1540234190586887</v>
      </c>
      <c r="H10" s="11">
        <v>0.3321047268435224</v>
      </c>
      <c r="I10" s="13">
        <v>0.4637796652959407</v>
      </c>
    </row>
    <row r="11" spans="1:9" ht="35" customHeight="1">
      <c r="A11" s="16" t="s">
        <v>93</v>
      </c>
      <c r="B11" s="20" t="s">
        <v>94</v>
      </c>
      <c r="C11" s="16" t="s">
        <v>95</v>
      </c>
      <c r="D11" s="15">
        <v>-0.3198054302370528</v>
      </c>
      <c r="E11" s="11">
        <v>-0.1289166801352374</v>
      </c>
      <c r="F11" s="11">
        <v>0.1657014659639659</v>
      </c>
      <c r="G11" s="11">
        <v>0.1455475003213619</v>
      </c>
      <c r="H11" s="11">
        <v>0.1488561503560891</v>
      </c>
      <c r="I11" s="13">
        <v>0.9717280697898019</v>
      </c>
    </row>
    <row r="12" spans="1:9" ht="35" customHeight="1">
      <c r="A12" s="16" t="s">
        <v>96</v>
      </c>
      <c r="B12" s="20" t="s">
        <v>97</v>
      </c>
      <c r="C12" s="16" t="s">
        <v>98</v>
      </c>
      <c r="D12" s="15">
        <v>-0.1465183271752986</v>
      </c>
      <c r="E12" s="11">
        <v>0.1854966207976885</v>
      </c>
      <c r="F12" s="11">
        <v>-0.5127900043973279</v>
      </c>
      <c r="G12" s="11">
        <v>0.1442642857232048</v>
      </c>
      <c r="H12" s="11">
        <v>0.2280212099840019</v>
      </c>
      <c r="I12" s="13">
        <v>0.6402572973799908</v>
      </c>
    </row>
    <row r="13" spans="1:9" ht="35" customHeight="1">
      <c r="A13" s="16" t="s">
        <v>99</v>
      </c>
      <c r="B13" s="20" t="s">
        <v>100</v>
      </c>
      <c r="C13" s="16" t="s">
        <v>101</v>
      </c>
      <c r="D13" s="12">
        <v>0.1092365958551295</v>
      </c>
      <c r="E13" s="11">
        <v>0.5431496121522437</v>
      </c>
      <c r="F13" s="11">
        <v>-0.2405148843292429</v>
      </c>
      <c r="G13" s="11">
        <v>0.2253738857968162</v>
      </c>
      <c r="H13" s="11">
        <v>0.2760233000470008</v>
      </c>
      <c r="I13" s="13">
        <v>0.8578281457489424</v>
      </c>
    </row>
    <row r="14" spans="1:9" ht="35" customHeight="1">
      <c r="A14" s="16" t="s">
        <v>102</v>
      </c>
      <c r="B14" s="20" t="s">
        <v>103</v>
      </c>
      <c r="C14" s="16" t="s">
        <v>104</v>
      </c>
      <c r="D14" s="12">
        <v>0.1478737177094661</v>
      </c>
      <c r="E14" s="11">
        <v>0.4239336604553421</v>
      </c>
      <c r="F14" s="11">
        <v>0.2460624659589851</v>
      </c>
      <c r="G14" s="11">
        <v>0.1685887224607915</v>
      </c>
      <c r="H14" s="11">
        <v>0.1774130018599246</v>
      </c>
      <c r="I14" s="13">
        <v>0.9808659934944698</v>
      </c>
    </row>
    <row r="15" spans="1:9" ht="35" customHeight="1">
      <c r="A15" s="16" t="s">
        <v>105</v>
      </c>
      <c r="B15" s="20" t="s">
        <v>106</v>
      </c>
      <c r="C15" s="16" t="s">
        <v>107</v>
      </c>
      <c r="D15" s="15">
        <v>-0.01283560859082632</v>
      </c>
      <c r="E15" s="11">
        <v>-0.4562934535139195</v>
      </c>
      <c r="F15" s="11">
        <v>0.3598727647550155</v>
      </c>
      <c r="G15" s="11">
        <v>0.1643642899092061</v>
      </c>
      <c r="H15" s="11">
        <v>0.1243481599337923</v>
      </c>
      <c r="I15" s="13">
        <v>1.379321159144611</v>
      </c>
    </row>
    <row r="16" spans="1:9" ht="35" customHeight="1">
      <c r="A16" s="16" t="s">
        <v>108</v>
      </c>
      <c r="B16" s="20" t="s">
        <v>109</v>
      </c>
      <c r="C16" s="16" t="s">
        <v>110</v>
      </c>
      <c r="D16" s="12">
        <v>0.1383604509662362</v>
      </c>
      <c r="E16" s="11">
        <v>0.2234246515182655</v>
      </c>
      <c r="F16" s="11">
        <v>0.1506496038704534</v>
      </c>
      <c r="G16" s="11">
        <v>0.1894102519310324</v>
      </c>
      <c r="H16" s="11">
        <v>0.3408458088469745</v>
      </c>
      <c r="I16" s="13">
        <v>0.5557065600183738</v>
      </c>
    </row>
    <row r="17" spans="1:9" ht="35" customHeight="1">
      <c r="A17" s="16" t="s">
        <v>111</v>
      </c>
      <c r="B17" s="20" t="s">
        <v>112</v>
      </c>
      <c r="C17" s="16" t="s">
        <v>113</v>
      </c>
      <c r="D17" s="12">
        <v>0.07849496689931168</v>
      </c>
      <c r="E17" s="11">
        <v>0.120414421875479</v>
      </c>
      <c r="F17" s="11">
        <v>0.0007655193688460016</v>
      </c>
      <c r="G17" s="11">
        <v>0.1409530785113482</v>
      </c>
      <c r="H17" s="11">
        <v>0.1829935202034726</v>
      </c>
      <c r="I17" s="13">
        <v>0.8312289422479018</v>
      </c>
    </row>
    <row r="18" spans="1:9" ht="35" customHeight="1">
      <c r="A18" s="16" t="s">
        <v>114</v>
      </c>
      <c r="B18" s="20" t="s">
        <v>115</v>
      </c>
      <c r="C18" s="16" t="s">
        <v>116</v>
      </c>
      <c r="D18" s="12">
        <v>0.118468111595368</v>
      </c>
      <c r="E18" s="11">
        <v>0.7380572494690105</v>
      </c>
      <c r="F18" s="11">
        <v>0.3612808372395192</v>
      </c>
      <c r="G18" s="11">
        <v>0.1692806778689834</v>
      </c>
      <c r="H18" s="11">
        <v>0.1533656951217187</v>
      </c>
      <c r="I18" s="13">
        <v>1.119070061163804</v>
      </c>
    </row>
  </sheetData>
  <mergeCells count="2">
    <mergeCell ref="A1:I1"/>
    <mergeCell ref="A5:I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21"/>
  <sheetViews>
    <sheetView showGridLines="0" workbookViewId="0"/>
  </sheetViews>
  <sheetFormatPr defaultRowHeight="15"/>
  <cols>
    <col min="1" max="1" width="35.7109375" customWidth="1"/>
    <col min="2" max="8" width="14.7109375" customWidth="1"/>
    <col min="9" max="9" width="50.7109375" customWidth="1"/>
  </cols>
  <sheetData>
    <row r="1" spans="1:9">
      <c r="A1" s="6" t="s">
        <v>117</v>
      </c>
      <c r="B1" s="6"/>
      <c r="C1" s="6"/>
      <c r="D1" s="6"/>
      <c r="E1" s="6"/>
      <c r="F1" s="6"/>
      <c r="G1" s="6"/>
      <c r="H1" s="6"/>
      <c r="I1" s="6"/>
    </row>
    <row r="4" spans="1:9">
      <c r="A4" s="2" t="s">
        <v>34</v>
      </c>
    </row>
    <row r="5" spans="1:9" ht="80" customHeight="1">
      <c r="A5" s="3" t="s">
        <v>118</v>
      </c>
      <c r="B5" s="3"/>
      <c r="C5" s="3"/>
      <c r="D5" s="3"/>
      <c r="E5" s="3"/>
      <c r="F5" s="3"/>
      <c r="G5" s="3"/>
      <c r="H5" s="3"/>
      <c r="I5" s="3"/>
    </row>
    <row r="7" spans="1:9">
      <c r="A7" s="1" t="s">
        <v>119</v>
      </c>
    </row>
    <row r="8" spans="1:9" ht="30" customHeight="1">
      <c r="A8" s="7" t="s">
        <v>120</v>
      </c>
      <c r="B8" s="7" t="s">
        <v>121</v>
      </c>
      <c r="C8" s="7" t="s">
        <v>122</v>
      </c>
      <c r="D8" s="7" t="s">
        <v>123</v>
      </c>
      <c r="E8" s="7" t="s">
        <v>124</v>
      </c>
      <c r="F8" s="7" t="s">
        <v>125</v>
      </c>
      <c r="G8" s="7" t="s">
        <v>78</v>
      </c>
      <c r="H8" s="7" t="s">
        <v>126</v>
      </c>
      <c r="I8" s="7" t="s">
        <v>83</v>
      </c>
    </row>
    <row r="9" spans="1:9">
      <c r="A9" s="16" t="s">
        <v>127</v>
      </c>
      <c r="B9" s="10">
        <v>14</v>
      </c>
      <c r="C9" s="11">
        <v>0.07416793687850666</v>
      </c>
      <c r="D9" s="11">
        <v>-0.1527091036055369</v>
      </c>
      <c r="E9" s="11">
        <v>0.1899389523687785</v>
      </c>
      <c r="F9" s="11">
        <v>0.1944233247532436</v>
      </c>
      <c r="G9" s="15">
        <v>-0.06111374372814994</v>
      </c>
      <c r="H9" s="19">
        <v>0.5</v>
      </c>
      <c r="I9" s="13">
        <v>1.067738497352351</v>
      </c>
    </row>
    <row r="10" spans="1:9">
      <c r="A10" s="16" t="s">
        <v>128</v>
      </c>
      <c r="B10" s="10">
        <v>42</v>
      </c>
      <c r="C10" s="11">
        <v>0.08814827463271489</v>
      </c>
      <c r="D10" s="11">
        <v>0.1527043536266949</v>
      </c>
      <c r="E10" s="11">
        <v>0.1754658828162965</v>
      </c>
      <c r="F10" s="11">
        <v>0.142491929476631</v>
      </c>
      <c r="G10" s="15">
        <v>-0.03352086436028325</v>
      </c>
      <c r="H10" s="19">
        <v>0.6428571428571429</v>
      </c>
      <c r="I10" s="13">
        <v>1.353758227547958</v>
      </c>
    </row>
    <row r="11" spans="1:9">
      <c r="A11" s="16" t="s">
        <v>129</v>
      </c>
      <c r="B11" s="10">
        <v>28</v>
      </c>
      <c r="C11" s="11">
        <v>0.08403745710180101</v>
      </c>
      <c r="D11" s="11">
        <v>0.02625063691617178</v>
      </c>
      <c r="E11" s="11">
        <v>0.1976943368920426</v>
      </c>
      <c r="F11" s="11">
        <v>0.2023606503154069</v>
      </c>
      <c r="G11" s="15">
        <v>-0.03749959636255968</v>
      </c>
      <c r="H11" s="19">
        <v>0.5714285714285714</v>
      </c>
      <c r="I11" s="13">
        <v>1.058795320276871</v>
      </c>
    </row>
    <row r="12" spans="1:9">
      <c r="A12" s="16" t="s">
        <v>130</v>
      </c>
      <c r="B12" s="10">
        <v>28</v>
      </c>
      <c r="C12" s="11">
        <v>0.08526892328652468</v>
      </c>
      <c r="D12" s="11">
        <v>0.1264513417211021</v>
      </c>
      <c r="E12" s="11">
        <v>0.1604739635167914</v>
      </c>
      <c r="F12" s="11">
        <v>0.1085889062761613</v>
      </c>
      <c r="G12" s="15">
        <v>-0.04333857204194017</v>
      </c>
      <c r="H12" s="19">
        <v>0.6428571428571429</v>
      </c>
      <c r="I12" s="13">
        <v>1.505711269721241</v>
      </c>
    </row>
    <row r="15" spans="1:9">
      <c r="A15" s="1" t="s">
        <v>131</v>
      </c>
    </row>
    <row r="16" spans="1:9" ht="30" customHeight="1">
      <c r="A16" s="7" t="s">
        <v>132</v>
      </c>
      <c r="B16" s="7" t="s">
        <v>121</v>
      </c>
      <c r="C16" s="7" t="s">
        <v>123</v>
      </c>
      <c r="D16" s="7" t="s">
        <v>122</v>
      </c>
      <c r="E16" s="7" t="s">
        <v>78</v>
      </c>
      <c r="F16" s="7" t="s">
        <v>124</v>
      </c>
      <c r="G16" s="7" t="s">
        <v>125</v>
      </c>
      <c r="H16" s="7" t="s">
        <v>26</v>
      </c>
      <c r="I16" s="7" t="s">
        <v>76</v>
      </c>
    </row>
    <row r="17" spans="1:9" ht="30" customHeight="1">
      <c r="A17" s="20" t="s">
        <v>133</v>
      </c>
      <c r="B17" s="10">
        <v>11</v>
      </c>
      <c r="C17" s="11">
        <v>-0.192280958315937</v>
      </c>
      <c r="D17" s="11">
        <v>0.0974892329365836</v>
      </c>
      <c r="E17" s="15">
        <v>-0.05228414356664912</v>
      </c>
      <c r="F17" s="11">
        <v>0.2029677575473743</v>
      </c>
      <c r="G17" s="11">
        <v>0.2038759880022064</v>
      </c>
      <c r="H17" s="13">
        <v>1.11449655523286</v>
      </c>
      <c r="I17" s="16" t="s">
        <v>134</v>
      </c>
    </row>
    <row r="18" spans="1:9" ht="30" customHeight="1">
      <c r="A18" s="20" t="s">
        <v>135</v>
      </c>
      <c r="B18" s="10">
        <v>11</v>
      </c>
      <c r="C18" s="11">
        <v>0.01816325543215137</v>
      </c>
      <c r="D18" s="11">
        <v>0.07383751154189938</v>
      </c>
      <c r="E18" s="15">
        <v>-0.05545208320247335</v>
      </c>
      <c r="F18" s="11">
        <v>0.170211079437623</v>
      </c>
      <c r="G18" s="11">
        <v>0.1488026391030607</v>
      </c>
      <c r="H18" s="13">
        <v>1.32554371199756</v>
      </c>
      <c r="I18" s="16" t="s">
        <v>136</v>
      </c>
    </row>
    <row r="19" spans="1:9" ht="30" customHeight="1">
      <c r="A19" s="20" t="s">
        <v>137</v>
      </c>
      <c r="B19" s="10">
        <v>11</v>
      </c>
      <c r="C19" s="11">
        <v>0.1121946182166251</v>
      </c>
      <c r="D19" s="11">
        <v>0.1599140834453201</v>
      </c>
      <c r="E19" s="15">
        <v>-0.01475357452072923</v>
      </c>
      <c r="F19" s="11">
        <v>0.1865513299929594</v>
      </c>
      <c r="G19" s="11">
        <v>0.1306178869060512</v>
      </c>
      <c r="H19" s="13">
        <v>1.494960213314203</v>
      </c>
      <c r="I19" s="16" t="s">
        <v>138</v>
      </c>
    </row>
    <row r="20" spans="1:9" ht="30" customHeight="1">
      <c r="A20" s="20" t="s">
        <v>139</v>
      </c>
      <c r="B20" s="10">
        <v>11</v>
      </c>
      <c r="C20" s="11">
        <v>0.1781569964995741</v>
      </c>
      <c r="D20" s="11">
        <v>0.141062859958472</v>
      </c>
      <c r="E20" s="12">
        <v>0.00942773191621462</v>
      </c>
      <c r="F20" s="11">
        <v>0.1654804855305771</v>
      </c>
      <c r="G20" s="11">
        <v>0.1566455176320534</v>
      </c>
      <c r="H20" s="13">
        <v>1.231363901330311</v>
      </c>
      <c r="I20" s="16" t="s">
        <v>140</v>
      </c>
    </row>
    <row r="21" spans="1:9" ht="30" customHeight="1">
      <c r="A21" s="20" t="s">
        <v>141</v>
      </c>
      <c r="B21" s="10">
        <v>12</v>
      </c>
      <c r="C21" s="11">
        <v>0.2497568643072601</v>
      </c>
      <c r="D21" s="11">
        <v>-0.03789682631932554</v>
      </c>
      <c r="E21" s="15">
        <v>-0.08498216268466567</v>
      </c>
      <c r="F21" s="11">
        <v>0.1709496028211233</v>
      </c>
      <c r="G21" s="11">
        <v>0.1389354363739018</v>
      </c>
      <c r="H21" s="13">
        <v>1.248014693276906</v>
      </c>
      <c r="I21" s="16" t="s">
        <v>142</v>
      </c>
    </row>
  </sheetData>
  <mergeCells count="2">
    <mergeCell ref="A1:I1"/>
    <mergeCell ref="A5:I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59"/>
  <sheetViews>
    <sheetView showGridLines="0" workbookViewId="0"/>
  </sheetViews>
  <sheetFormatPr defaultRowHeight="15"/>
  <cols>
    <col min="1" max="1" width="14.7109375" customWidth="1"/>
    <col min="2" max="7" width="16.7109375" customWidth="1"/>
  </cols>
  <sheetData>
    <row r="1" spans="1:7">
      <c r="A1" s="6" t="s">
        <v>143</v>
      </c>
      <c r="B1" s="6"/>
      <c r="C1" s="6"/>
      <c r="D1" s="6"/>
      <c r="E1" s="6"/>
      <c r="F1" s="6"/>
      <c r="G1" s="6"/>
    </row>
    <row r="4" spans="1:7">
      <c r="A4" s="2" t="s">
        <v>34</v>
      </c>
    </row>
    <row r="5" spans="1:7" ht="80" customHeight="1">
      <c r="A5" s="3" t="s">
        <v>144</v>
      </c>
      <c r="B5" s="3"/>
      <c r="C5" s="3"/>
      <c r="D5" s="3"/>
      <c r="E5" s="3"/>
      <c r="F5" s="3"/>
      <c r="G5" s="3"/>
    </row>
    <row r="7" spans="1:7" ht="30" customHeight="1">
      <c r="A7" s="7" t="s">
        <v>145</v>
      </c>
      <c r="B7" s="7" t="s">
        <v>146</v>
      </c>
      <c r="C7" s="7" t="s">
        <v>147</v>
      </c>
      <c r="D7" s="7" t="s">
        <v>148</v>
      </c>
      <c r="E7" s="7" t="s">
        <v>149</v>
      </c>
      <c r="F7" s="7" t="s">
        <v>150</v>
      </c>
      <c r="G7" s="7" t="s">
        <v>151</v>
      </c>
    </row>
    <row r="8" spans="1:7">
      <c r="A8" s="20" t="s">
        <v>152</v>
      </c>
      <c r="B8" s="15">
        <v>-0.0356821833831258</v>
      </c>
      <c r="C8" s="11">
        <v>0.2250639276713985</v>
      </c>
      <c r="D8" s="11">
        <v>0.1447905815209629</v>
      </c>
      <c r="E8" s="11">
        <v>0.234966519916268</v>
      </c>
      <c r="F8" s="11">
        <v>-0.01183904872271103</v>
      </c>
      <c r="G8" s="13">
        <v>1.585804048002582</v>
      </c>
    </row>
    <row r="9" spans="1:7">
      <c r="A9" s="20" t="s">
        <v>153</v>
      </c>
      <c r="B9" s="15">
        <v>-0.02653928525438089</v>
      </c>
      <c r="C9" s="11">
        <v>0.2493418745145701</v>
      </c>
      <c r="D9" s="11">
        <v>0.1421234476887728</v>
      </c>
      <c r="E9" s="11">
        <v>0.2245292981941829</v>
      </c>
      <c r="F9" s="11">
        <v>0.0102527816239503</v>
      </c>
      <c r="G9" s="13">
        <v>1.826266125641989</v>
      </c>
    </row>
    <row r="10" spans="1:7">
      <c r="A10" s="20" t="s">
        <v>154</v>
      </c>
      <c r="B10" s="15">
        <v>-0.0226729165730285</v>
      </c>
      <c r="C10" s="11">
        <v>0.2412494673163706</v>
      </c>
      <c r="D10" s="11">
        <v>0.1441864540536422</v>
      </c>
      <c r="E10" s="11">
        <v>0.1856487102672087</v>
      </c>
      <c r="F10" s="11">
        <v>-0.04323585879603547</v>
      </c>
      <c r="G10" s="13">
        <v>1.686216277968913</v>
      </c>
    </row>
    <row r="11" spans="1:7">
      <c r="A11" s="20" t="s">
        <v>155</v>
      </c>
      <c r="B11" s="15">
        <v>-0.07308562926225709</v>
      </c>
      <c r="C11" s="11">
        <v>0.2158454835416353</v>
      </c>
      <c r="D11" s="11">
        <v>0.1378550213025694</v>
      </c>
      <c r="E11" s="11">
        <v>0.1398722275055777</v>
      </c>
      <c r="F11" s="11">
        <v>-0.002974339646785547</v>
      </c>
      <c r="G11" s="13">
        <v>1.59260932324756</v>
      </c>
    </row>
    <row r="12" spans="1:7">
      <c r="A12" s="20" t="s">
        <v>156</v>
      </c>
      <c r="B12" s="15">
        <v>-0.1183672831164969</v>
      </c>
      <c r="C12" s="11">
        <v>0.2077945164110163</v>
      </c>
      <c r="D12" s="11">
        <v>0.1163422607088067</v>
      </c>
      <c r="E12" s="11">
        <v>0.2017107602053164</v>
      </c>
      <c r="F12" s="11">
        <v>0.09077324858019453</v>
      </c>
      <c r="G12" s="13">
        <v>1.813698831442056</v>
      </c>
    </row>
    <row r="13" spans="1:7">
      <c r="A13" s="20" t="s">
        <v>157</v>
      </c>
      <c r="B13" s="15">
        <v>-0.004768869004542767</v>
      </c>
      <c r="C13" s="11">
        <v>0.2637955584157058</v>
      </c>
      <c r="D13" s="11">
        <v>0.1182914911750121</v>
      </c>
      <c r="E13" s="11">
        <v>0.2858360973538242</v>
      </c>
      <c r="F13" s="11">
        <v>0.08179401294967133</v>
      </c>
      <c r="G13" s="13">
        <v>2.143310910375103</v>
      </c>
    </row>
    <row r="14" spans="1:7">
      <c r="A14" s="20" t="s">
        <v>158</v>
      </c>
      <c r="B14" s="12">
        <v>0.003924767666837128</v>
      </c>
      <c r="C14" s="11">
        <v>0.2789021815151547</v>
      </c>
      <c r="D14" s="11">
        <v>0.1231183202104033</v>
      </c>
      <c r="E14" s="11">
        <v>0.2181080435034927</v>
      </c>
      <c r="F14" s="11">
        <v>0.02628008493468958</v>
      </c>
      <c r="G14" s="13">
        <v>2.186595202299622</v>
      </c>
    </row>
    <row r="15" spans="1:7">
      <c r="A15" s="20" t="s">
        <v>159</v>
      </c>
      <c r="B15" s="12">
        <v>0.06507435070562984</v>
      </c>
      <c r="C15" s="11">
        <v>0.3197114718692062</v>
      </c>
      <c r="D15" s="11">
        <v>0.1412839634086903</v>
      </c>
      <c r="E15" s="11">
        <v>0.203752261886856</v>
      </c>
      <c r="F15" s="11">
        <v>0.0782548928771046</v>
      </c>
      <c r="G15" s="13">
        <v>2.263845738166475</v>
      </c>
    </row>
    <row r="16" spans="1:7">
      <c r="A16" s="20" t="s">
        <v>160</v>
      </c>
      <c r="B16" s="12">
        <v>0.108412233624026</v>
      </c>
      <c r="C16" s="11">
        <v>0.3273207294143484</v>
      </c>
      <c r="D16" s="11">
        <v>0.1427958971397288</v>
      </c>
      <c r="E16" s="11">
        <v>0.1047151702904451</v>
      </c>
      <c r="F16" s="11">
        <v>0.1080055545249735</v>
      </c>
      <c r="G16" s="13">
        <v>2.302041279567677</v>
      </c>
    </row>
    <row r="17" spans="1:7">
      <c r="A17" s="20" t="s">
        <v>161</v>
      </c>
      <c r="B17" s="12">
        <v>0.1273187629922286</v>
      </c>
      <c r="C17" s="11">
        <v>0.3037486980870651</v>
      </c>
      <c r="D17" s="11">
        <v>0.1464441356325525</v>
      </c>
      <c r="E17" s="11">
        <v>-0.1014503877732789</v>
      </c>
      <c r="F17" s="11">
        <v>0.08757087785957317</v>
      </c>
      <c r="G17" s="13">
        <v>2.038396217792439</v>
      </c>
    </row>
    <row r="18" spans="1:7">
      <c r="A18" s="20" t="s">
        <v>162</v>
      </c>
      <c r="B18" s="12">
        <v>0.1199641086429181</v>
      </c>
      <c r="C18" s="11">
        <v>0.2400122316742496</v>
      </c>
      <c r="D18" s="11">
        <v>0.1340548195965757</v>
      </c>
      <c r="E18" s="11">
        <v>-0.1150273278998655</v>
      </c>
      <c r="F18" s="11">
        <v>0.08845912941258054</v>
      </c>
      <c r="G18" s="13">
        <v>1.773920799129959</v>
      </c>
    </row>
    <row r="19" spans="1:7">
      <c r="A19" s="20" t="s">
        <v>163</v>
      </c>
      <c r="B19" s="12">
        <v>0.1137910936262526</v>
      </c>
      <c r="C19" s="11">
        <v>0.2196223204655252</v>
      </c>
      <c r="D19" s="11">
        <v>0.1364542242614858</v>
      </c>
      <c r="E19" s="11">
        <v>-0.005465576722905591</v>
      </c>
      <c r="F19" s="11">
        <v>0.1362241697796572</v>
      </c>
      <c r="G19" s="13">
        <v>1.597968704514476</v>
      </c>
    </row>
    <row r="20" spans="1:7">
      <c r="A20" s="20" t="s">
        <v>164</v>
      </c>
      <c r="B20" s="15">
        <v>-0.06723554383539526</v>
      </c>
      <c r="C20" s="11">
        <v>0.1830506735470246</v>
      </c>
      <c r="D20" s="11">
        <v>0.1667354827865752</v>
      </c>
      <c r="E20" s="11">
        <v>0.01228707975153075</v>
      </c>
      <c r="F20" s="11">
        <v>0.1127017473781659</v>
      </c>
      <c r="G20" s="13">
        <v>1.317858480643243</v>
      </c>
    </row>
    <row r="21" spans="1:7">
      <c r="A21" s="20" t="s">
        <v>165</v>
      </c>
      <c r="B21" s="15">
        <v>-0.1318823759722003</v>
      </c>
      <c r="C21" s="11">
        <v>0.1579548591410656</v>
      </c>
      <c r="D21" s="11">
        <v>0.1742623793183736</v>
      </c>
      <c r="E21" s="11">
        <v>0.01411143038984344</v>
      </c>
      <c r="F21" s="11">
        <v>0.1042184540850018</v>
      </c>
      <c r="G21" s="13">
        <v>1.084567326635702</v>
      </c>
    </row>
    <row r="22" spans="1:7">
      <c r="A22" s="20" t="s">
        <v>166</v>
      </c>
      <c r="B22" s="15">
        <v>-0.1352758921964194</v>
      </c>
      <c r="C22" s="11">
        <v>0.1526408336427169</v>
      </c>
      <c r="D22" s="11">
        <v>0.1751297016816001</v>
      </c>
      <c r="E22" s="11">
        <v>0.05359748826800474</v>
      </c>
      <c r="F22" s="11">
        <v>0.1496341306794457</v>
      </c>
      <c r="G22" s="13">
        <v>1.035064362862882</v>
      </c>
    </row>
    <row r="23" spans="1:7">
      <c r="A23" s="20" t="s">
        <v>167</v>
      </c>
      <c r="B23" s="15">
        <v>-0.1854345106983795</v>
      </c>
      <c r="C23" s="11">
        <v>0.1528284279809793</v>
      </c>
      <c r="D23" s="11">
        <v>0.1865884408668162</v>
      </c>
      <c r="E23" s="11">
        <v>0.03512529235831548</v>
      </c>
      <c r="F23" s="11">
        <v>0.08931496620296117</v>
      </c>
      <c r="G23" s="13">
        <v>0.9130666670058704</v>
      </c>
    </row>
    <row r="24" spans="1:7">
      <c r="A24" s="20" t="s">
        <v>168</v>
      </c>
      <c r="B24" s="15">
        <v>-0.2453916971888501</v>
      </c>
      <c r="C24" s="11">
        <v>0.1401663623362843</v>
      </c>
      <c r="D24" s="11">
        <v>0.1856505206378207</v>
      </c>
      <c r="E24" s="11">
        <v>-0.01929801926282837</v>
      </c>
      <c r="F24" s="11">
        <v>0.1087324133954299</v>
      </c>
      <c r="G24" s="13">
        <v>0.8314533473668803</v>
      </c>
    </row>
    <row r="25" spans="1:7">
      <c r="A25" s="20" t="s">
        <v>169</v>
      </c>
      <c r="B25" s="15">
        <v>-0.2186009550449231</v>
      </c>
      <c r="C25" s="11">
        <v>0.1249548937834176</v>
      </c>
      <c r="D25" s="11">
        <v>0.138290038176559</v>
      </c>
      <c r="E25" s="11">
        <v>-0.07546143792343449</v>
      </c>
      <c r="F25" s="11">
        <v>0.1134529427208992</v>
      </c>
      <c r="G25" s="13">
        <v>0.9023158461851477</v>
      </c>
    </row>
    <row r="26" spans="1:7">
      <c r="A26" s="20" t="s">
        <v>170</v>
      </c>
      <c r="B26" s="15">
        <v>-0.2210835679590249</v>
      </c>
      <c r="C26" s="11">
        <v>0.1283010207014703</v>
      </c>
      <c r="D26" s="11">
        <v>0.1214241947849971</v>
      </c>
      <c r="E26" s="11">
        <v>-0.009320006674428321</v>
      </c>
      <c r="F26" s="11">
        <v>0.1037074843043798</v>
      </c>
      <c r="G26" s="13">
        <v>1.088814452541154</v>
      </c>
    </row>
    <row r="27" spans="1:7">
      <c r="A27" s="20" t="s">
        <v>171</v>
      </c>
      <c r="B27" s="15">
        <v>-0.2498371091092426</v>
      </c>
      <c r="C27" s="11">
        <v>0.1199739490904327</v>
      </c>
      <c r="D27" s="11">
        <v>0.1149410083302982</v>
      </c>
      <c r="E27" s="11">
        <v>-0.010283424230588</v>
      </c>
      <c r="F27" s="11">
        <v>0.05240754250530102</v>
      </c>
      <c r="G27" s="13">
        <v>1.070601225735326</v>
      </c>
    </row>
    <row r="28" spans="1:7">
      <c r="A28" s="20" t="s">
        <v>172</v>
      </c>
      <c r="B28" s="15">
        <v>-0.205063516940483</v>
      </c>
      <c r="C28" s="11">
        <v>0.09865235945631408</v>
      </c>
      <c r="D28" s="11">
        <v>0.09887288549476461</v>
      </c>
      <c r="E28" s="11">
        <v>-0.00302536252337434</v>
      </c>
      <c r="F28" s="11">
        <v>0.1246748443418196</v>
      </c>
      <c r="G28" s="13">
        <v>1.018924947083532</v>
      </c>
    </row>
    <row r="29" spans="1:7">
      <c r="A29" s="20" t="s">
        <v>173</v>
      </c>
      <c r="B29" s="15">
        <v>-0.1418404227444133</v>
      </c>
      <c r="C29" s="11">
        <v>0.08606643161364932</v>
      </c>
      <c r="D29" s="11">
        <v>0.09400216792933443</v>
      </c>
      <c r="E29" s="11">
        <v>0.00761496154444799</v>
      </c>
      <c r="F29" s="11">
        <v>0.1148695321363475</v>
      </c>
      <c r="G29" s="13">
        <v>0.9467995664055193</v>
      </c>
    </row>
    <row r="30" spans="1:7">
      <c r="A30" s="20" t="s">
        <v>174</v>
      </c>
      <c r="B30" s="15">
        <v>-0.1690856861486959</v>
      </c>
      <c r="C30" s="11">
        <v>0.09436745454652824</v>
      </c>
      <c r="D30" s="11">
        <v>0.1107343168074581</v>
      </c>
      <c r="E30" s="11">
        <v>-0.02839870944739518</v>
      </c>
      <c r="F30" s="11">
        <v>0.1601524775612687</v>
      </c>
      <c r="G30" s="13">
        <v>0.9166960528296413</v>
      </c>
    </row>
    <row r="31" spans="1:7">
      <c r="A31" s="20" t="s">
        <v>175</v>
      </c>
      <c r="B31" s="15">
        <v>-0.1051964976118226</v>
      </c>
      <c r="C31" s="11">
        <v>0.091333658621681</v>
      </c>
      <c r="D31" s="11">
        <v>0.1337749442313798</v>
      </c>
      <c r="E31" s="11">
        <v>-0.06084796203048313</v>
      </c>
      <c r="F31" s="11">
        <v>0.1937984805338666</v>
      </c>
      <c r="G31" s="13">
        <v>0.7089595020306799</v>
      </c>
    </row>
    <row r="32" spans="1:7">
      <c r="A32" s="20" t="s">
        <v>176</v>
      </c>
      <c r="B32" s="15">
        <v>-0.06059081274185293</v>
      </c>
      <c r="C32" s="11">
        <v>0.1067982572821644</v>
      </c>
      <c r="D32" s="11">
        <v>0.1498484976965666</v>
      </c>
      <c r="E32" s="11">
        <v>-0.05676296944220527</v>
      </c>
      <c r="F32" s="11">
        <v>0.2325738146161318</v>
      </c>
      <c r="G32" s="13">
        <v>0.7126991906613525</v>
      </c>
    </row>
    <row r="33" spans="1:7">
      <c r="A33" s="20" t="s">
        <v>177</v>
      </c>
      <c r="B33" s="15">
        <v>-0.05231386771828425</v>
      </c>
      <c r="C33" s="11">
        <v>0.12606627222452</v>
      </c>
      <c r="D33" s="11">
        <v>0.1782434256501206</v>
      </c>
      <c r="E33" s="11">
        <v>-0.07028231841685882</v>
      </c>
      <c r="F33" s="11">
        <v>0.1524931587170464</v>
      </c>
      <c r="G33" s="13">
        <v>0.6941586547277313</v>
      </c>
    </row>
    <row r="34" spans="1:7">
      <c r="A34" s="20" t="s">
        <v>178</v>
      </c>
      <c r="B34" s="15">
        <v>-0.05474415484634045</v>
      </c>
      <c r="C34" s="11">
        <v>0.143139507055305</v>
      </c>
      <c r="D34" s="11">
        <v>0.1970415994294114</v>
      </c>
      <c r="E34" s="11">
        <v>-0.05543714016172049</v>
      </c>
      <c r="F34" s="11">
        <v>0.08763931486627551</v>
      </c>
      <c r="G34" s="13">
        <v>0.7304043458232853</v>
      </c>
    </row>
    <row r="35" spans="1:7">
      <c r="A35" s="20" t="s">
        <v>179</v>
      </c>
      <c r="B35" s="15">
        <v>-0.09372051211481661</v>
      </c>
      <c r="C35" s="11">
        <v>0.145151107872576</v>
      </c>
      <c r="D35" s="11">
        <v>0.2122649921599293</v>
      </c>
      <c r="E35" s="11">
        <v>0.03654515766808483</v>
      </c>
      <c r="F35" s="11">
        <v>-0.01960438622862172</v>
      </c>
      <c r="G35" s="13">
        <v>0.6984490822016556</v>
      </c>
    </row>
    <row r="36" spans="1:7">
      <c r="A36" s="20" t="s">
        <v>180</v>
      </c>
      <c r="B36" s="15">
        <v>-0.1533497255595369</v>
      </c>
      <c r="C36" s="11">
        <v>0.1532247891336869</v>
      </c>
      <c r="D36" s="11">
        <v>0.2057844784622999</v>
      </c>
      <c r="E36" s="11">
        <v>0.07291407077642056</v>
      </c>
      <c r="F36" s="11">
        <v>-0.02005994125996073</v>
      </c>
      <c r="G36" s="13">
        <v>0.7711020680867724</v>
      </c>
    </row>
    <row r="37" spans="1:7">
      <c r="A37" s="20" t="s">
        <v>181</v>
      </c>
      <c r="B37" s="15">
        <v>-0.1545947458245406</v>
      </c>
      <c r="C37" s="11">
        <v>0.1500054538594317</v>
      </c>
      <c r="D37" s="11">
        <v>0.1920703683569795</v>
      </c>
      <c r="E37" s="11">
        <v>0.08388352421523851</v>
      </c>
      <c r="F37" s="11">
        <v>-0.03850923752853842</v>
      </c>
      <c r="G37" s="13">
        <v>0.8599455327930962</v>
      </c>
    </row>
    <row r="38" spans="1:7">
      <c r="A38" s="20" t="s">
        <v>182</v>
      </c>
      <c r="B38" s="15">
        <v>-0.1697426337006547</v>
      </c>
      <c r="C38" s="11">
        <v>0.1428718828621637</v>
      </c>
      <c r="D38" s="11">
        <v>0.1685556054568427</v>
      </c>
      <c r="E38" s="11">
        <v>0.1283862685638384</v>
      </c>
      <c r="F38" s="11">
        <v>-0.01121384411358282</v>
      </c>
      <c r="G38" s="13">
        <v>0.9587472128747108</v>
      </c>
    </row>
    <row r="39" spans="1:7">
      <c r="A39" s="20" t="s">
        <v>183</v>
      </c>
      <c r="B39" s="15">
        <v>-0.1237144131807381</v>
      </c>
      <c r="C39" s="11">
        <v>0.1610423506616049</v>
      </c>
      <c r="D39" s="11">
        <v>0.1462259199103756</v>
      </c>
      <c r="E39" s="11">
        <v>0.1650845532336467</v>
      </c>
      <c r="F39" s="11">
        <v>0.04227359788757723</v>
      </c>
      <c r="G39" s="13">
        <v>1.298258440487246</v>
      </c>
    </row>
    <row r="40" spans="1:7">
      <c r="A40" s="20" t="s">
        <v>184</v>
      </c>
      <c r="B40" s="12">
        <v>0.01841531387158419</v>
      </c>
      <c r="C40" s="11">
        <v>0.1683322223972998</v>
      </c>
      <c r="D40" s="11">
        <v>0.1266302994627129</v>
      </c>
      <c r="E40" s="11">
        <v>0.1752857542181246</v>
      </c>
      <c r="F40" s="11">
        <v>0.1024354518560236</v>
      </c>
      <c r="G40" s="13">
        <v>1.407999263054349</v>
      </c>
    </row>
    <row r="41" spans="1:7">
      <c r="A41" s="20" t="s">
        <v>185</v>
      </c>
      <c r="B41" s="12">
        <v>0.05591156171013763</v>
      </c>
      <c r="C41" s="11">
        <v>0.1968654416763424</v>
      </c>
      <c r="D41" s="11">
        <v>0.1737432231991774</v>
      </c>
      <c r="E41" s="11">
        <v>0.1503501282691431</v>
      </c>
      <c r="F41" s="11">
        <v>-0.04156883194975006</v>
      </c>
      <c r="G41" s="13">
        <v>1.362464461588522</v>
      </c>
    </row>
    <row r="42" spans="1:7">
      <c r="A42" s="20" t="s">
        <v>186</v>
      </c>
      <c r="B42" s="12">
        <v>0.04910179022841761</v>
      </c>
      <c r="C42" s="11">
        <v>0.2069139607051648</v>
      </c>
      <c r="D42" s="11">
        <v>0.2055662530559132</v>
      </c>
      <c r="E42" s="11">
        <v>0.1832718304773302</v>
      </c>
      <c r="F42" s="11">
        <v>-0.01665235837574957</v>
      </c>
      <c r="G42" s="13">
        <v>1.235604518891562</v>
      </c>
    </row>
    <row r="43" spans="1:7">
      <c r="A43" s="20" t="s">
        <v>187</v>
      </c>
      <c r="B43" s="12">
        <v>0.06784741929205515</v>
      </c>
      <c r="C43" s="11">
        <v>0.2135523377385669</v>
      </c>
      <c r="D43" s="11">
        <v>0.220812751439839</v>
      </c>
      <c r="E43" s="11">
        <v>0.2020460412746577</v>
      </c>
      <c r="F43" s="11">
        <v>0.001492466810960194</v>
      </c>
      <c r="G43" s="13">
        <v>1.167964052517811</v>
      </c>
    </row>
    <row r="44" spans="1:7">
      <c r="A44" s="20" t="s">
        <v>188</v>
      </c>
      <c r="B44" s="12">
        <v>0.04966342557711475</v>
      </c>
      <c r="C44" s="11">
        <v>0.2068113385665043</v>
      </c>
      <c r="D44" s="11">
        <v>0.2470902803224158</v>
      </c>
      <c r="E44" s="11">
        <v>0.1797476796215907</v>
      </c>
      <c r="F44" s="11">
        <v>-0.02405076572512326</v>
      </c>
      <c r="G44" s="13">
        <v>0.8664167285043245</v>
      </c>
    </row>
    <row r="45" spans="1:7">
      <c r="A45" s="20" t="s">
        <v>189</v>
      </c>
      <c r="B45" s="12">
        <v>0.04013912817881357</v>
      </c>
      <c r="C45" s="11">
        <v>0.2031818542098488</v>
      </c>
      <c r="D45" s="11">
        <v>0.2406413970757334</v>
      </c>
      <c r="E45" s="11">
        <v>0.1395570084059748</v>
      </c>
      <c r="F45" s="11">
        <v>-0.00582655368904893</v>
      </c>
      <c r="G45" s="13">
        <v>0.8919160062989959</v>
      </c>
    </row>
    <row r="46" spans="1:7">
      <c r="A46" s="20" t="s">
        <v>190</v>
      </c>
      <c r="B46" s="12">
        <v>0.08241983199230145</v>
      </c>
      <c r="C46" s="11">
        <v>0.1841231493672583</v>
      </c>
      <c r="D46" s="11">
        <v>0.1817931602736428</v>
      </c>
      <c r="E46" s="11">
        <v>0.06290840378996965</v>
      </c>
      <c r="F46" s="11">
        <v>0.1432109336793241</v>
      </c>
      <c r="G46" s="13">
        <v>1.13184548051156</v>
      </c>
    </row>
    <row r="47" spans="1:7">
      <c r="A47" s="20" t="s">
        <v>191</v>
      </c>
      <c r="B47" s="12">
        <v>0.07618462986438308</v>
      </c>
      <c r="C47" s="11">
        <v>0.1725261421176549</v>
      </c>
      <c r="D47" s="11">
        <v>0.1505798809410625</v>
      </c>
      <c r="E47" s="11">
        <v>0.01540133044210133</v>
      </c>
      <c r="F47" s="11">
        <v>0.1226455545222768</v>
      </c>
      <c r="G47" s="13">
        <v>1.237316283604751</v>
      </c>
    </row>
    <row r="48" spans="1:7">
      <c r="A48" s="20" t="s">
        <v>192</v>
      </c>
      <c r="B48" s="12">
        <v>0.02897325045934604</v>
      </c>
      <c r="C48" s="11">
        <v>0.1683751040345777</v>
      </c>
      <c r="D48" s="11">
        <v>0.1455621825982474</v>
      </c>
      <c r="E48" s="11">
        <v>-0.05843752336142791</v>
      </c>
      <c r="F48" s="11">
        <v>0.09712847378008374</v>
      </c>
      <c r="G48" s="13">
        <v>1.239202119129075</v>
      </c>
    </row>
    <row r="49" spans="1:7">
      <c r="A49" s="20" t="s">
        <v>193</v>
      </c>
      <c r="B49" s="15">
        <v>-0.01618618394821982</v>
      </c>
      <c r="C49" s="11">
        <v>0.1593950307097833</v>
      </c>
      <c r="D49" s="11">
        <v>0.1253475718553103</v>
      </c>
      <c r="E49" s="11">
        <v>-0.06121468699509523</v>
      </c>
      <c r="F49" s="11">
        <v>0.1153496530576437</v>
      </c>
      <c r="G49" s="13">
        <v>1.306640429109151</v>
      </c>
    </row>
    <row r="50" spans="1:7">
      <c r="A50" s="20" t="s">
        <v>194</v>
      </c>
      <c r="B50" s="15">
        <v>-0.08856708616643785</v>
      </c>
      <c r="C50" s="11">
        <v>0.1496276392204158</v>
      </c>
      <c r="D50" s="11">
        <v>0.1135227593064134</v>
      </c>
      <c r="E50" s="11">
        <v>-0.05029188649213912</v>
      </c>
      <c r="F50" s="11">
        <v>0.125684613235824</v>
      </c>
      <c r="G50" s="13">
        <v>1.371039492930304</v>
      </c>
    </row>
    <row r="51" spans="1:7">
      <c r="A51" s="20" t="s">
        <v>195</v>
      </c>
      <c r="B51" s="15">
        <v>-0.1501013508401384</v>
      </c>
      <c r="C51" s="11">
        <v>0.1262898816808215</v>
      </c>
      <c r="D51" s="11">
        <v>0.1252933603049375</v>
      </c>
      <c r="E51" s="11">
        <v>0.01242497705310802</v>
      </c>
      <c r="F51" s="11">
        <v>0.06094564509496152</v>
      </c>
      <c r="G51" s="13">
        <v>1.093753541140179</v>
      </c>
    </row>
    <row r="52" spans="1:7">
      <c r="A52" s="20" t="s">
        <v>196</v>
      </c>
      <c r="B52" s="15">
        <v>-0.1708758652830116</v>
      </c>
      <c r="C52" s="11">
        <v>0.120228623693506</v>
      </c>
      <c r="D52" s="11">
        <v>0.1274589407132079</v>
      </c>
      <c r="E52" s="11">
        <v>0.04962774859319355</v>
      </c>
      <c r="F52" s="11">
        <v>0.0901103469098098</v>
      </c>
      <c r="G52" s="13">
        <v>1.02180277579807</v>
      </c>
    </row>
    <row r="53" spans="1:7">
      <c r="A53" s="20" t="s">
        <v>197</v>
      </c>
      <c r="B53" s="15">
        <v>-0.0303452638568481</v>
      </c>
      <c r="C53" s="11">
        <v>0.1308650087753688</v>
      </c>
      <c r="D53" s="11">
        <v>0.1651512863474351</v>
      </c>
      <c r="E53" s="11">
        <v>0.1161859679506635</v>
      </c>
      <c r="F53" s="11">
        <v>0.1216987760633772</v>
      </c>
      <c r="G53" s="13">
        <v>0.9541480798230471</v>
      </c>
    </row>
    <row r="54" spans="1:7">
      <c r="A54" s="20" t="s">
        <v>198</v>
      </c>
      <c r="B54" s="12">
        <v>0.04092196404883095</v>
      </c>
      <c r="C54" s="11">
        <v>0.1262924044890528</v>
      </c>
      <c r="D54" s="11">
        <v>0.1651428791541127</v>
      </c>
      <c r="E54" s="11">
        <v>0.09245648656325631</v>
      </c>
      <c r="F54" s="11">
        <v>0.1511183475004574</v>
      </c>
      <c r="G54" s="13">
        <v>0.9187238609346604</v>
      </c>
    </row>
    <row r="55" spans="1:7">
      <c r="A55" s="20" t="s">
        <v>199</v>
      </c>
      <c r="B55" s="12">
        <v>0.08702491813302256</v>
      </c>
      <c r="C55" s="11">
        <v>0.136310652206281</v>
      </c>
      <c r="D55" s="11">
        <v>0.199533159614114</v>
      </c>
      <c r="E55" s="11">
        <v>0.06741834166716598</v>
      </c>
      <c r="F55" s="11">
        <v>0.07238250613223615</v>
      </c>
      <c r="G55" s="13">
        <v>0.7429730182921109</v>
      </c>
    </row>
    <row r="56" spans="1:7">
      <c r="A56" s="20" t="s">
        <v>200</v>
      </c>
      <c r="B56" s="12">
        <v>0.08793335255722297</v>
      </c>
      <c r="C56" s="11">
        <v>0.1434004560817799</v>
      </c>
      <c r="D56" s="11">
        <v>0.1916596457758772</v>
      </c>
      <c r="E56" s="11">
        <v>0.09500021593832617</v>
      </c>
      <c r="F56" s="11">
        <v>0.1286567359870237</v>
      </c>
      <c r="G56" s="13">
        <v>0.833869591481234</v>
      </c>
    </row>
    <row r="57" spans="1:7">
      <c r="A57" s="20" t="s">
        <v>201</v>
      </c>
      <c r="B57" s="12">
        <v>0.1350466861066916</v>
      </c>
      <c r="C57" s="11">
        <v>0.1507088866193574</v>
      </c>
      <c r="D57" s="11">
        <v>0.1919731072989567</v>
      </c>
      <c r="E57" s="11">
        <v>0.1095889769843127</v>
      </c>
      <c r="F57" s="11">
        <v>0.1198220680458886</v>
      </c>
      <c r="G57" s="13">
        <v>0.8903814326439511</v>
      </c>
    </row>
    <row r="58" spans="1:7">
      <c r="A58" s="20" t="s">
        <v>202</v>
      </c>
      <c r="B58" s="12">
        <v>0.1022687440491423</v>
      </c>
      <c r="C58" s="11">
        <v>0.1507311286420159</v>
      </c>
      <c r="D58" s="11">
        <v>0.1603024540100497</v>
      </c>
      <c r="E58" s="11">
        <v>0.164339881689253</v>
      </c>
      <c r="F58" s="11">
        <v>0.1200436608143222</v>
      </c>
      <c r="G58" s="13">
        <v>0.9869433610569566</v>
      </c>
    </row>
    <row r="59" spans="1:7">
      <c r="A59" s="20" t="s">
        <v>203</v>
      </c>
      <c r="B59" s="12">
        <v>0.09001961298942583</v>
      </c>
      <c r="C59" s="11">
        <v>0.2170217453657422</v>
      </c>
      <c r="D59" s="11">
        <v>0.1546352788861924</v>
      </c>
      <c r="E59" s="11">
        <v>0.199696527538228</v>
      </c>
      <c r="F59" s="11">
        <v>0.07349375543387864</v>
      </c>
      <c r="G59" s="13">
        <v>1.705165653627731</v>
      </c>
    </row>
  </sheetData>
  <mergeCells count="2">
    <mergeCell ref="A1:G1"/>
    <mergeCell ref="A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60"/>
  <sheetViews>
    <sheetView showGridLines="0" workbookViewId="0"/>
  </sheetViews>
  <sheetFormatPr defaultRowHeight="15"/>
  <cols>
    <col min="1" max="10" width="15.7109375" customWidth="1"/>
  </cols>
  <sheetData>
    <row r="1" spans="1:10">
      <c r="A1" s="6" t="s">
        <v>204</v>
      </c>
      <c r="B1" s="6"/>
      <c r="C1" s="6"/>
      <c r="D1" s="6"/>
      <c r="E1" s="6"/>
      <c r="F1" s="6"/>
      <c r="G1" s="6"/>
      <c r="H1" s="6"/>
      <c r="I1" s="6"/>
      <c r="J1" s="6"/>
    </row>
    <row r="4" spans="1:10">
      <c r="A4" s="7" t="s">
        <v>17</v>
      </c>
      <c r="B4" s="7" t="s">
        <v>205</v>
      </c>
      <c r="C4" s="7" t="s">
        <v>206</v>
      </c>
      <c r="D4" s="7" t="s">
        <v>207</v>
      </c>
      <c r="E4" s="7" t="s">
        <v>208</v>
      </c>
      <c r="F4" s="7" t="s">
        <v>36</v>
      </c>
      <c r="G4" s="7" t="s">
        <v>209</v>
      </c>
      <c r="H4" s="7" t="s">
        <v>210</v>
      </c>
      <c r="I4" s="7" t="s">
        <v>211</v>
      </c>
      <c r="J4" s="7" t="s">
        <v>212</v>
      </c>
    </row>
    <row r="5" spans="1:10">
      <c r="A5" s="10">
        <v>1971</v>
      </c>
      <c r="B5" s="11">
        <v>0.01146801559164077</v>
      </c>
      <c r="C5" s="11">
        <v>0.06474097738975186</v>
      </c>
      <c r="D5" s="11">
        <v>0.0897046749814706</v>
      </c>
      <c r="E5" s="11">
        <v>0.1224265331357325</v>
      </c>
      <c r="F5" s="13">
        <v>0.009076354569947067</v>
      </c>
      <c r="G5" s="13">
        <v>0.7327224963727129</v>
      </c>
      <c r="H5" s="14">
        <v>43.85</v>
      </c>
      <c r="I5" s="14">
        <v>102.09</v>
      </c>
      <c r="J5" s="11">
        <v>0.01146801559164077</v>
      </c>
    </row>
    <row r="6" spans="1:10">
      <c r="A6" s="10">
        <v>1972</v>
      </c>
      <c r="B6" s="11">
        <v>0.396684750114415</v>
      </c>
      <c r="C6" s="11">
        <v>0.1452534863505988</v>
      </c>
      <c r="D6" s="11">
        <v>0.173297237871932</v>
      </c>
      <c r="E6" s="11">
        <v>0.07955518640229378</v>
      </c>
      <c r="F6" s="13">
        <v>-0.07789176148426194</v>
      </c>
      <c r="G6" s="13">
        <v>2.17832734368322</v>
      </c>
      <c r="H6" s="14">
        <v>65.2</v>
      </c>
      <c r="I6" s="14">
        <v>118.05</v>
      </c>
      <c r="J6" s="11">
        <v>0.4081527657060557</v>
      </c>
    </row>
    <row r="7" spans="1:10">
      <c r="A7" s="10">
        <v>1973</v>
      </c>
      <c r="B7" s="11">
        <v>0.5437143928117909</v>
      </c>
      <c r="C7" s="11">
        <v>-0.1907431964624012</v>
      </c>
      <c r="D7" s="11">
        <v>0.3392105819874851</v>
      </c>
      <c r="E7" s="11">
        <v>0.1554849870369502</v>
      </c>
      <c r="F7" s="13">
        <v>0.01909090815443949</v>
      </c>
      <c r="G7" s="13">
        <v>2.181629162093144</v>
      </c>
      <c r="H7" s="14">
        <v>112.3</v>
      </c>
      <c r="I7" s="14">
        <v>97.55</v>
      </c>
      <c r="J7" s="11">
        <v>0.9518671585178466</v>
      </c>
    </row>
    <row r="8" spans="1:10">
      <c r="A8" s="10">
        <v>1974</v>
      </c>
      <c r="B8" s="11">
        <v>0.5085969622685285</v>
      </c>
      <c r="C8" s="11">
        <v>-0.3526557927795956</v>
      </c>
      <c r="D8" s="11">
        <v>0.3156406329515388</v>
      </c>
      <c r="E8" s="11">
        <v>0.2143995997261947</v>
      </c>
      <c r="F8" s="13">
        <v>-0.02399071989771109</v>
      </c>
      <c r="G8" s="13">
        <v>1.472207193271988</v>
      </c>
      <c r="H8" s="14">
        <v>186.75</v>
      </c>
      <c r="I8" s="14">
        <v>68.56</v>
      </c>
      <c r="J8" s="11">
        <v>1.460464120786375</v>
      </c>
    </row>
    <row r="9" spans="1:10">
      <c r="A9" s="10">
        <v>1975</v>
      </c>
      <c r="B9" s="11">
        <v>-0.285631521205035</v>
      </c>
      <c r="C9" s="11">
        <v>0.274209281888091</v>
      </c>
      <c r="D9" s="11">
        <v>0.2074665105645662</v>
      </c>
      <c r="E9" s="11">
        <v>0.1520866013036432</v>
      </c>
      <c r="F9" s="13">
        <v>-0.1135130135416043</v>
      </c>
      <c r="G9" s="13">
        <v>1.364134044591845</v>
      </c>
      <c r="H9" s="14">
        <v>140.35</v>
      </c>
      <c r="I9" s="14">
        <v>90.19</v>
      </c>
      <c r="J9" s="11">
        <v>1.17483259958134</v>
      </c>
    </row>
    <row r="10" spans="1:10">
      <c r="A10" s="10">
        <v>1976</v>
      </c>
      <c r="B10" s="11">
        <v>-0.04071809301878491</v>
      </c>
      <c r="C10" s="11">
        <v>0.1752001291230585</v>
      </c>
      <c r="D10" s="11">
        <v>0.2110944091973285</v>
      </c>
      <c r="E10" s="11">
        <v>0.109090863974782</v>
      </c>
      <c r="F10" s="13">
        <v>0.05687561200084758</v>
      </c>
      <c r="G10" s="13">
        <v>1.935032884569749</v>
      </c>
      <c r="H10" s="14">
        <v>134.75</v>
      </c>
      <c r="I10" s="14">
        <v>107.46</v>
      </c>
      <c r="J10" s="11">
        <v>1.134114506562555</v>
      </c>
    </row>
    <row r="11" spans="1:10">
      <c r="A11" s="10">
        <v>1977</v>
      </c>
      <c r="B11" s="11">
        <v>0.2022818104795439</v>
      </c>
      <c r="C11" s="11">
        <v>-0.12218971574933</v>
      </c>
      <c r="D11" s="11">
        <v>0.1328352018809345</v>
      </c>
      <c r="E11" s="11">
        <v>0.089870218226641</v>
      </c>
      <c r="F11" s="13">
        <v>-0.01292400406296275</v>
      </c>
      <c r="G11" s="13">
        <v>1.478078105317841</v>
      </c>
      <c r="H11" s="14">
        <v>164.96</v>
      </c>
      <c r="I11" s="14">
        <v>95.09999999999999</v>
      </c>
      <c r="J11" s="11">
        <v>1.336396317042099</v>
      </c>
    </row>
    <row r="12" spans="1:10">
      <c r="A12" s="10">
        <v>1978</v>
      </c>
      <c r="B12" s="11">
        <v>0.3148319790036361</v>
      </c>
      <c r="C12" s="11">
        <v>0.01056439928384838</v>
      </c>
      <c r="D12" s="11">
        <v>0.2121906631138085</v>
      </c>
      <c r="E12" s="11">
        <v>0.1238278232815859</v>
      </c>
      <c r="F12" s="13">
        <v>-0.2593086920385285</v>
      </c>
      <c r="G12" s="13">
        <v>1.713594388486379</v>
      </c>
      <c r="H12" s="14">
        <v>226</v>
      </c>
      <c r="I12" s="14">
        <v>96.11</v>
      </c>
      <c r="J12" s="11">
        <v>1.651228296045735</v>
      </c>
    </row>
    <row r="13" spans="1:10">
      <c r="A13" s="10">
        <v>1979</v>
      </c>
      <c r="B13" s="11">
        <v>0.8177896257672219</v>
      </c>
      <c r="C13" s="11">
        <v>0.1160821483553048</v>
      </c>
      <c r="D13" s="11">
        <v>0.275385797298444</v>
      </c>
      <c r="E13" s="11">
        <v>0.1068357967573815</v>
      </c>
      <c r="F13" s="13">
        <v>-0.1834623090862749</v>
      </c>
      <c r="G13" s="13">
        <v>2.577654734244467</v>
      </c>
      <c r="H13" s="14">
        <v>512</v>
      </c>
      <c r="I13" s="14">
        <v>107.94</v>
      </c>
      <c r="J13" s="11">
        <v>2.469017921812957</v>
      </c>
    </row>
    <row r="14" spans="1:10">
      <c r="A14" s="10">
        <v>1980</v>
      </c>
      <c r="B14" s="11">
        <v>0.1349951645375039</v>
      </c>
      <c r="C14" s="11">
        <v>0.229313103735475</v>
      </c>
      <c r="D14" s="11">
        <v>0.4874717205880139</v>
      </c>
      <c r="E14" s="11">
        <v>0.16183275363467</v>
      </c>
      <c r="F14" s="13">
        <v>0.1295239004739936</v>
      </c>
      <c r="G14" s="13">
        <v>3.01219443925708</v>
      </c>
      <c r="H14" s="14">
        <v>586</v>
      </c>
      <c r="I14" s="14">
        <v>135.76</v>
      </c>
      <c r="J14" s="11">
        <v>2.604013086350461</v>
      </c>
    </row>
    <row r="15" spans="1:10">
      <c r="A15" s="10">
        <v>1981</v>
      </c>
      <c r="B15" s="11">
        <v>-0.3793583622704422</v>
      </c>
      <c r="C15" s="11">
        <v>-0.1023695109518503</v>
      </c>
      <c r="D15" s="11">
        <v>0.2866275246945725</v>
      </c>
      <c r="E15" s="11">
        <v>0.1332250091517384</v>
      </c>
      <c r="F15" s="13">
        <v>0.06301339502862592</v>
      </c>
      <c r="G15" s="13">
        <v>2.151454344192345</v>
      </c>
      <c r="H15" s="14">
        <v>401</v>
      </c>
      <c r="I15" s="14">
        <v>122.55</v>
      </c>
      <c r="J15" s="11">
        <v>2.224654724080019</v>
      </c>
    </row>
    <row r="16" spans="1:10">
      <c r="A16" s="10">
        <v>1982</v>
      </c>
      <c r="B16" s="11">
        <v>0.1305029023963603</v>
      </c>
      <c r="C16" s="11">
        <v>0.1376843239627451</v>
      </c>
      <c r="D16" s="11">
        <v>0.336881653651192</v>
      </c>
      <c r="E16" s="11">
        <v>0.1806984342180758</v>
      </c>
      <c r="F16" s="13">
        <v>0.242621453441557</v>
      </c>
      <c r="G16" s="13">
        <v>1.864330784652105</v>
      </c>
      <c r="H16" s="14">
        <v>456.8999</v>
      </c>
      <c r="I16" s="14">
        <v>140.64</v>
      </c>
      <c r="J16" s="11">
        <v>2.355157626476379</v>
      </c>
    </row>
    <row r="17" spans="1:10">
      <c r="A17" s="10">
        <v>1983</v>
      </c>
      <c r="B17" s="11">
        <v>-0.1803534789784184</v>
      </c>
      <c r="C17" s="11">
        <v>0.159317707523193</v>
      </c>
      <c r="D17" s="11">
        <v>0.2502369508395197</v>
      </c>
      <c r="E17" s="11">
        <v>0.1313874919367784</v>
      </c>
      <c r="F17" s="13">
        <v>0.1319237082700245</v>
      </c>
      <c r="G17" s="13">
        <v>1.904572095492392</v>
      </c>
      <c r="H17" s="14">
        <v>381.5</v>
      </c>
      <c r="I17" s="14">
        <v>164.93</v>
      </c>
      <c r="J17" s="11">
        <v>2.174804147497961</v>
      </c>
    </row>
    <row r="18" spans="1:10">
      <c r="A18" s="10">
        <v>1984</v>
      </c>
      <c r="B18" s="11">
        <v>-0.2130381645513981</v>
      </c>
      <c r="C18" s="11">
        <v>0.013908765028303</v>
      </c>
      <c r="D18" s="11">
        <v>0.1575256406620276</v>
      </c>
      <c r="E18" s="11">
        <v>0.1250769892215</v>
      </c>
      <c r="F18" s="13">
        <v>-0.0833524456693148</v>
      </c>
      <c r="G18" s="13">
        <v>1.259429425368274</v>
      </c>
      <c r="H18" s="14">
        <v>308.2998</v>
      </c>
      <c r="I18" s="14">
        <v>167.24</v>
      </c>
      <c r="J18" s="11">
        <v>1.961765982946563</v>
      </c>
    </row>
    <row r="19" spans="1:10">
      <c r="A19" s="10">
        <v>1985</v>
      </c>
      <c r="B19" s="11">
        <v>0.06711046390457096</v>
      </c>
      <c r="C19" s="11">
        <v>0.2337543615005119</v>
      </c>
      <c r="D19" s="11">
        <v>0.1687893885239364</v>
      </c>
      <c r="E19" s="11">
        <v>0.09988617345478602</v>
      </c>
      <c r="F19" s="13">
        <v>0.01737254956283801</v>
      </c>
      <c r="G19" s="13">
        <v>1.689817345944679</v>
      </c>
      <c r="H19" s="14">
        <v>329.7</v>
      </c>
      <c r="I19" s="14">
        <v>211.28</v>
      </c>
      <c r="J19" s="11">
        <v>2.028876446851134</v>
      </c>
    </row>
    <row r="20" spans="1:10">
      <c r="A20" s="10">
        <v>1986</v>
      </c>
      <c r="B20" s="11">
        <v>0.1684503936143573</v>
      </c>
      <c r="C20" s="11">
        <v>0.1364556908835331</v>
      </c>
      <c r="D20" s="11">
        <v>0.1846779686509503</v>
      </c>
      <c r="E20" s="11">
        <v>0.145222032476289</v>
      </c>
      <c r="F20" s="13">
        <v>0.01198643731136147</v>
      </c>
      <c r="G20" s="13">
        <v>1.271693871114932</v>
      </c>
      <c r="H20" s="14">
        <v>390.1899</v>
      </c>
      <c r="I20" s="14">
        <v>242.17</v>
      </c>
      <c r="J20" s="11">
        <v>2.197326840465491</v>
      </c>
    </row>
    <row r="21" spans="1:10">
      <c r="A21" s="10">
        <v>1987</v>
      </c>
      <c r="B21" s="11">
        <v>0.219266184768542</v>
      </c>
      <c r="C21" s="11">
        <v>0.02007221195528872</v>
      </c>
      <c r="D21" s="11">
        <v>0.1540234190586887</v>
      </c>
      <c r="E21" s="11">
        <v>0.3321047268435224</v>
      </c>
      <c r="F21" s="13">
        <v>-0.2936824419003539</v>
      </c>
      <c r="G21" s="13">
        <v>0.4637796652959407</v>
      </c>
      <c r="H21" s="14">
        <v>485.8499</v>
      </c>
      <c r="I21" s="14">
        <v>247.08</v>
      </c>
      <c r="J21" s="11">
        <v>2.416593025234033</v>
      </c>
    </row>
    <row r="22" spans="1:10">
      <c r="A22" s="10">
        <v>1988</v>
      </c>
      <c r="B22" s="11">
        <v>-0.1712317257868549</v>
      </c>
      <c r="C22" s="11">
        <v>0.1169012410573724</v>
      </c>
      <c r="D22" s="11">
        <v>0.1247578788097252</v>
      </c>
      <c r="E22" s="11">
        <v>0.1690219745957705</v>
      </c>
      <c r="F22" s="13">
        <v>-0.2025775703651215</v>
      </c>
      <c r="G22" s="13">
        <v>0.738116325454685</v>
      </c>
      <c r="H22" s="14">
        <v>409.3899</v>
      </c>
      <c r="I22" s="14">
        <v>277.72</v>
      </c>
      <c r="J22" s="11">
        <v>2.245361299447178</v>
      </c>
    </row>
    <row r="23" spans="1:10">
      <c r="A23" s="10">
        <v>1989</v>
      </c>
      <c r="B23" s="11">
        <v>-0.01560787516059155</v>
      </c>
      <c r="C23" s="11">
        <v>0.2409871480005225</v>
      </c>
      <c r="D23" s="11">
        <v>0.1309555131702836</v>
      </c>
      <c r="E23" s="11">
        <v>0.1294136010376324</v>
      </c>
      <c r="F23" s="13">
        <v>-0.08504410644648201</v>
      </c>
      <c r="G23" s="13">
        <v>1.011914606504172</v>
      </c>
      <c r="H23" s="14">
        <v>403.0498</v>
      </c>
      <c r="I23" s="14">
        <v>353.4</v>
      </c>
      <c r="J23" s="11">
        <v>2.229753424286586</v>
      </c>
    </row>
    <row r="24" spans="1:10">
      <c r="A24" s="10">
        <v>1990</v>
      </c>
      <c r="B24" s="11">
        <v>-0.0252505156438754</v>
      </c>
      <c r="C24" s="11">
        <v>-0.06784146088191093</v>
      </c>
      <c r="D24" s="11">
        <v>0.1697273602152488</v>
      </c>
      <c r="E24" s="11">
        <v>0.1571798693808666</v>
      </c>
      <c r="F24" s="13">
        <v>-0.3130000869773901</v>
      </c>
      <c r="G24" s="13">
        <v>1.079828866659623</v>
      </c>
      <c r="H24" s="14">
        <v>393</v>
      </c>
      <c r="I24" s="14">
        <v>330.22</v>
      </c>
      <c r="J24" s="11">
        <v>2.204502908642711</v>
      </c>
    </row>
    <row r="25" spans="1:10">
      <c r="A25" s="10">
        <v>1991</v>
      </c>
      <c r="B25" s="11">
        <v>-0.103666164491362</v>
      </c>
      <c r="C25" s="11">
        <v>0.2335429268458769</v>
      </c>
      <c r="D25" s="11">
        <v>0.1213676404274751</v>
      </c>
      <c r="E25" s="11">
        <v>0.1405324313313116</v>
      </c>
      <c r="F25" s="13">
        <v>-0.3266107734967155</v>
      </c>
      <c r="G25" s="13">
        <v>0.863627272919981</v>
      </c>
      <c r="H25" s="14">
        <v>354.2998</v>
      </c>
      <c r="I25" s="14">
        <v>417.09</v>
      </c>
      <c r="J25" s="11">
        <v>2.100836744151349</v>
      </c>
    </row>
    <row r="26" spans="1:10">
      <c r="A26" s="10">
        <v>1992</v>
      </c>
      <c r="B26" s="11">
        <v>-0.06155090853448858</v>
      </c>
      <c r="C26" s="11">
        <v>0.04367485858263533</v>
      </c>
      <c r="D26" s="11">
        <v>0.07796607629435509</v>
      </c>
      <c r="E26" s="11">
        <v>0.09530231453721418</v>
      </c>
      <c r="F26" s="13">
        <v>-0.01265423156324004</v>
      </c>
      <c r="G26" s="13">
        <v>0.8180921593872778</v>
      </c>
      <c r="H26" s="14">
        <v>333.1499</v>
      </c>
      <c r="I26" s="14">
        <v>435.71</v>
      </c>
      <c r="J26" s="11">
        <v>2.039285835616861</v>
      </c>
    </row>
    <row r="27" spans="1:10">
      <c r="A27" s="10">
        <v>1993</v>
      </c>
      <c r="B27" s="11">
        <v>0.1594754304581759</v>
      </c>
      <c r="C27" s="11">
        <v>0.06817394897477524</v>
      </c>
      <c r="D27" s="11">
        <v>0.1414885133999891</v>
      </c>
      <c r="E27" s="11">
        <v>0.08469275763796073</v>
      </c>
      <c r="F27" s="13">
        <v>-0.2223568091800767</v>
      </c>
      <c r="G27" s="13">
        <v>1.670609357234716</v>
      </c>
      <c r="H27" s="14">
        <v>390.75</v>
      </c>
      <c r="I27" s="14">
        <v>466.45</v>
      </c>
      <c r="J27" s="11">
        <v>2.198761266075036</v>
      </c>
    </row>
    <row r="28" spans="1:10">
      <c r="A28" s="10">
        <v>1994</v>
      </c>
      <c r="B28" s="11">
        <v>-0.02042496294138991</v>
      </c>
      <c r="C28" s="11">
        <v>-0.01551256099487144</v>
      </c>
      <c r="D28" s="11">
        <v>0.08932015511509557</v>
      </c>
      <c r="E28" s="11">
        <v>0.09699766876413787</v>
      </c>
      <c r="F28" s="13">
        <v>-0.202924954894448</v>
      </c>
      <c r="G28" s="13">
        <v>0.9208484724750329</v>
      </c>
      <c r="H28" s="14">
        <v>382.8499</v>
      </c>
      <c r="I28" s="14">
        <v>459.27</v>
      </c>
      <c r="J28" s="11">
        <v>2.178336303133646</v>
      </c>
    </row>
    <row r="29" spans="1:10">
      <c r="A29" s="10">
        <v>1995</v>
      </c>
      <c r="B29" s="11">
        <v>0.01103979289219289</v>
      </c>
      <c r="C29" s="11">
        <v>0.2934950483006818</v>
      </c>
      <c r="D29" s="11">
        <v>0.06311941204465549</v>
      </c>
      <c r="E29" s="11">
        <v>0.07683925520319865</v>
      </c>
      <c r="F29" s="13">
        <v>-0.1222300472080301</v>
      </c>
      <c r="G29" s="13">
        <v>0.8214474734006527</v>
      </c>
      <c r="H29" s="14">
        <v>387.0999</v>
      </c>
      <c r="I29" s="14">
        <v>615.9299999999999</v>
      </c>
      <c r="J29" s="11">
        <v>2.189376096025839</v>
      </c>
    </row>
    <row r="30" spans="1:10">
      <c r="A30" s="10">
        <v>1996</v>
      </c>
      <c r="B30" s="11">
        <v>-0.05046454415225032</v>
      </c>
      <c r="C30" s="11">
        <v>0.1845163658185165</v>
      </c>
      <c r="D30" s="11">
        <v>0.05843800121415133</v>
      </c>
      <c r="E30" s="11">
        <v>0.1161788435041606</v>
      </c>
      <c r="F30" s="13">
        <v>-0.1540400778305566</v>
      </c>
      <c r="G30" s="13">
        <v>0.5030003695299182</v>
      </c>
      <c r="H30" s="14">
        <v>368.0498</v>
      </c>
      <c r="I30" s="14">
        <v>740.74</v>
      </c>
      <c r="J30" s="11">
        <v>2.138911551873589</v>
      </c>
    </row>
    <row r="31" spans="1:10">
      <c r="A31" s="10">
        <v>1997</v>
      </c>
      <c r="B31" s="11">
        <v>-0.2416192634937044</v>
      </c>
      <c r="C31" s="11">
        <v>0.2700895857072414</v>
      </c>
      <c r="D31" s="11">
        <v>0.1194711909587497</v>
      </c>
      <c r="E31" s="11">
        <v>0.1789630589278327</v>
      </c>
      <c r="F31" s="13">
        <v>-0.1720226037456908</v>
      </c>
      <c r="G31" s="13">
        <v>0.6675745915078865</v>
      </c>
      <c r="H31" s="14">
        <v>289.0498</v>
      </c>
      <c r="I31" s="14">
        <v>970.4299999999999</v>
      </c>
      <c r="J31" s="11">
        <v>1.897292288379885</v>
      </c>
    </row>
    <row r="32" spans="1:10">
      <c r="A32" s="10">
        <v>1998</v>
      </c>
      <c r="B32" s="11">
        <v>-0.002770832457263825</v>
      </c>
      <c r="C32" s="11">
        <v>0.2364039638377648</v>
      </c>
      <c r="D32" s="11">
        <v>0.1263195337757529</v>
      </c>
      <c r="E32" s="11">
        <v>0.1998958947575689</v>
      </c>
      <c r="F32" s="13">
        <v>-0.001332252813818866</v>
      </c>
      <c r="G32" s="13">
        <v>0.6319266032399091</v>
      </c>
      <c r="H32" s="14">
        <v>288.25</v>
      </c>
      <c r="I32" s="14">
        <v>1229.23</v>
      </c>
      <c r="J32" s="11">
        <v>1.894521455922621</v>
      </c>
    </row>
    <row r="33" spans="1:10">
      <c r="A33" s="10">
        <v>1999</v>
      </c>
      <c r="B33" s="11">
        <v>-5.828670879282072E-16</v>
      </c>
      <c r="C33" s="11">
        <v>0.1783641094164546</v>
      </c>
      <c r="D33" s="11">
        <v>0.1666431484175127</v>
      </c>
      <c r="E33" s="11">
        <v>0.1773654360900722</v>
      </c>
      <c r="F33" s="13">
        <v>-0.002206848852024095</v>
      </c>
      <c r="G33" s="13">
        <v>0.9395469156283957</v>
      </c>
      <c r="H33" s="14">
        <v>288.25</v>
      </c>
      <c r="I33" s="14">
        <v>1469.25</v>
      </c>
      <c r="J33" s="11">
        <v>1.89452145592262</v>
      </c>
    </row>
    <row r="34" spans="1:10">
      <c r="A34" s="10">
        <v>2000</v>
      </c>
      <c r="B34" s="11">
        <v>-0.05655695198107497</v>
      </c>
      <c r="C34" s="11">
        <v>-0.106908231194745</v>
      </c>
      <c r="D34" s="11">
        <v>0.1594594867564336</v>
      </c>
      <c r="E34" s="11">
        <v>0.2188138949709684</v>
      </c>
      <c r="F34" s="13">
        <v>-0.03971580165611863</v>
      </c>
      <c r="G34" s="13">
        <v>0.7287447937325472</v>
      </c>
      <c r="H34" s="14">
        <v>272.3999</v>
      </c>
      <c r="I34" s="14">
        <v>1320.28</v>
      </c>
      <c r="J34" s="11">
        <v>1.837964503941546</v>
      </c>
    </row>
    <row r="35" spans="1:10">
      <c r="A35" s="10">
        <v>2001</v>
      </c>
      <c r="B35" s="11">
        <v>0.02376134712344142</v>
      </c>
      <c r="C35" s="11">
        <v>-0.1397528534353382</v>
      </c>
      <c r="D35" s="11">
        <v>0.1438041753680762</v>
      </c>
      <c r="E35" s="11">
        <v>0.2101697124006145</v>
      </c>
      <c r="F35" s="13">
        <v>-0.08334147213764827</v>
      </c>
      <c r="G35" s="13">
        <v>0.6842288250076879</v>
      </c>
      <c r="H35" s="14">
        <v>278.95</v>
      </c>
      <c r="I35" s="14">
        <v>1148.08</v>
      </c>
      <c r="J35" s="11">
        <v>1.861725851064987</v>
      </c>
    </row>
    <row r="36" spans="1:10">
      <c r="A36" s="10">
        <v>2002</v>
      </c>
      <c r="B36" s="11">
        <v>0.2182922256553221</v>
      </c>
      <c r="C36" s="11">
        <v>-0.2661289197672447</v>
      </c>
      <c r="D36" s="11">
        <v>0.1295291950451046</v>
      </c>
      <c r="E36" s="11">
        <v>0.2550800225804226</v>
      </c>
      <c r="F36" s="13">
        <v>-0.3164977077321288</v>
      </c>
      <c r="G36" s="13">
        <v>0.5077982733997375</v>
      </c>
      <c r="H36" s="14">
        <v>347</v>
      </c>
      <c r="I36" s="14">
        <v>879.8200000000001</v>
      </c>
      <c r="J36" s="11">
        <v>2.080018076720309</v>
      </c>
    </row>
    <row r="37" spans="1:10">
      <c r="A37" s="10">
        <v>2003</v>
      </c>
      <c r="B37" s="11">
        <v>0.1790737330844149</v>
      </c>
      <c r="C37" s="11">
        <v>0.2341261886810697</v>
      </c>
      <c r="D37" s="11">
        <v>0.1666879400813075</v>
      </c>
      <c r="E37" s="11">
        <v>0.1674933262694217</v>
      </c>
      <c r="F37" s="13">
        <v>-0.3638978430562975</v>
      </c>
      <c r="G37" s="13">
        <v>0.9951915326654943</v>
      </c>
      <c r="H37" s="14">
        <v>415.0498</v>
      </c>
      <c r="I37" s="14">
        <v>1111.92</v>
      </c>
      <c r="J37" s="11">
        <v>2.259091809804724</v>
      </c>
    </row>
    <row r="38" spans="1:10">
      <c r="A38" s="10">
        <v>2004</v>
      </c>
      <c r="B38" s="11">
        <v>0.05484726719408914</v>
      </c>
      <c r="C38" s="11">
        <v>0.08611762807356613</v>
      </c>
      <c r="D38" s="11">
        <v>0.1505464720462366</v>
      </c>
      <c r="E38" s="11">
        <v>0.1087948855634705</v>
      </c>
      <c r="F38" s="13">
        <v>0.08174743316141374</v>
      </c>
      <c r="G38" s="13">
        <v>1.383764239160014</v>
      </c>
      <c r="H38" s="14">
        <v>438.45</v>
      </c>
      <c r="I38" s="14">
        <v>1211.92</v>
      </c>
      <c r="J38" s="11">
        <v>2.313939076998813</v>
      </c>
    </row>
    <row r="39" spans="1:10">
      <c r="A39" s="10">
        <v>2005</v>
      </c>
      <c r="B39" s="11">
        <v>0.1659567697619246</v>
      </c>
      <c r="C39" s="11">
        <v>0.02956873588003305</v>
      </c>
      <c r="D39" s="11">
        <v>0.1237916317700937</v>
      </c>
      <c r="E39" s="11">
        <v>0.1012400804702844</v>
      </c>
      <c r="F39" s="13">
        <v>-0.00194445349459725</v>
      </c>
      <c r="G39" s="13">
        <v>1.22275319414062</v>
      </c>
      <c r="H39" s="14">
        <v>517.5999</v>
      </c>
      <c r="I39" s="14">
        <v>1248.29</v>
      </c>
      <c r="J39" s="11">
        <v>2.479895846760737</v>
      </c>
    </row>
    <row r="40" spans="1:10">
      <c r="A40" s="10">
        <v>2006</v>
      </c>
      <c r="B40" s="11">
        <v>0.2072527704724826</v>
      </c>
      <c r="C40" s="11">
        <v>0.127684356570462</v>
      </c>
      <c r="D40" s="11">
        <v>0.2346565143652818</v>
      </c>
      <c r="E40" s="11">
        <v>0.09852128466827911</v>
      </c>
      <c r="F40" s="13">
        <v>0.1349255460586931</v>
      </c>
      <c r="G40" s="13">
        <v>2.381784963070363</v>
      </c>
      <c r="H40" s="14">
        <v>636.7998</v>
      </c>
      <c r="I40" s="14">
        <v>1418.3</v>
      </c>
      <c r="J40" s="11">
        <v>2.68714861723322</v>
      </c>
    </row>
    <row r="41" spans="1:10">
      <c r="A41" s="10">
        <v>2007</v>
      </c>
      <c r="B41" s="11">
        <v>0.2692982305777119</v>
      </c>
      <c r="C41" s="11">
        <v>0.03468035007498689</v>
      </c>
      <c r="D41" s="11">
        <v>0.1659785537235791</v>
      </c>
      <c r="E41" s="11">
        <v>0.1571019203421088</v>
      </c>
      <c r="F41" s="13">
        <v>0.2992892816538317</v>
      </c>
      <c r="G41" s="13">
        <v>1.056502386235256</v>
      </c>
      <c r="H41" s="14">
        <v>833.5999</v>
      </c>
      <c r="I41" s="14">
        <v>1468.35</v>
      </c>
      <c r="J41" s="11">
        <v>2.956446847810932</v>
      </c>
    </row>
    <row r="42" spans="1:10">
      <c r="A42" s="10">
        <v>2008</v>
      </c>
      <c r="B42" s="11">
        <v>0.054395603339507</v>
      </c>
      <c r="C42" s="11">
        <v>-0.4858952303477984</v>
      </c>
      <c r="D42" s="11">
        <v>0.3093540364765209</v>
      </c>
      <c r="E42" s="11">
        <v>0.403057944951744</v>
      </c>
      <c r="F42" s="13">
        <v>-0.001599055575645775</v>
      </c>
      <c r="G42" s="13">
        <v>0.7675175253363589</v>
      </c>
      <c r="H42" s="14">
        <v>880.2</v>
      </c>
      <c r="I42" s="14">
        <v>903.25</v>
      </c>
      <c r="J42" s="11">
        <v>3.010842451150439</v>
      </c>
    </row>
    <row r="43" spans="1:10">
      <c r="A43" s="10">
        <v>2009</v>
      </c>
      <c r="B43" s="11">
        <v>0.2194557782350247</v>
      </c>
      <c r="C43" s="11">
        <v>0.2106999959435686</v>
      </c>
      <c r="D43" s="11">
        <v>0.2007890671903484</v>
      </c>
      <c r="E43" s="11">
        <v>0.2679100348471495</v>
      </c>
      <c r="F43" s="13">
        <v>0.03001956148720267</v>
      </c>
      <c r="G43" s="13">
        <v>0.7494645256752118</v>
      </c>
      <c r="H43" s="14">
        <v>1096.2</v>
      </c>
      <c r="I43" s="14">
        <v>1115.1</v>
      </c>
      <c r="J43" s="11">
        <v>3.230298229385464</v>
      </c>
    </row>
    <row r="44" spans="1:10">
      <c r="A44" s="10">
        <v>2010</v>
      </c>
      <c r="B44" s="11">
        <v>0.2598278237485622</v>
      </c>
      <c r="C44" s="11">
        <v>0.1202928618135819</v>
      </c>
      <c r="D44" s="11">
        <v>0.1569835169371043</v>
      </c>
      <c r="E44" s="11">
        <v>0.1774725723899137</v>
      </c>
      <c r="F44" s="13">
        <v>0.2064614466243936</v>
      </c>
      <c r="G44" s="13">
        <v>0.8845508622718659</v>
      </c>
      <c r="H44" s="14">
        <v>1421.45</v>
      </c>
      <c r="I44" s="14">
        <v>1257.64</v>
      </c>
      <c r="J44" s="11">
        <v>3.490126053134027</v>
      </c>
    </row>
    <row r="45" spans="1:10">
      <c r="A45" s="10">
        <v>2011</v>
      </c>
      <c r="B45" s="11">
        <v>0.09576096220714786</v>
      </c>
      <c r="C45" s="11">
        <v>-3.180610995528327E-05</v>
      </c>
      <c r="D45" s="11">
        <v>0.2009515185049686</v>
      </c>
      <c r="E45" s="11">
        <v>0.2299089290811631</v>
      </c>
      <c r="F45" s="13">
        <v>-0.02874038323187598</v>
      </c>
      <c r="G45" s="13">
        <v>0.8740483430029291</v>
      </c>
      <c r="H45" s="14">
        <v>1564.3</v>
      </c>
      <c r="I45" s="14">
        <v>1257.6</v>
      </c>
      <c r="J45" s="11">
        <v>3.585887015341175</v>
      </c>
    </row>
    <row r="46" spans="1:10">
      <c r="A46" s="10">
        <v>2012</v>
      </c>
      <c r="B46" s="11">
        <v>0.06834487449963211</v>
      </c>
      <c r="C46" s="11">
        <v>0.1258014102553586</v>
      </c>
      <c r="D46" s="11">
        <v>0.1478311319403015</v>
      </c>
      <c r="E46" s="11">
        <v>0.1248575041086968</v>
      </c>
      <c r="F46" s="13">
        <v>0.2659000897358805</v>
      </c>
      <c r="G46" s="13">
        <v>1.183998775208614</v>
      </c>
      <c r="H46" s="14">
        <v>1674.95</v>
      </c>
      <c r="I46" s="14">
        <v>1426.19</v>
      </c>
      <c r="J46" s="11">
        <v>3.654231889840807</v>
      </c>
    </row>
    <row r="47" spans="1:10">
      <c r="A47" s="10">
        <v>2013</v>
      </c>
      <c r="B47" s="11">
        <v>-0.3288474197405186</v>
      </c>
      <c r="C47" s="11">
        <v>0.2592922064940666</v>
      </c>
      <c r="D47" s="11">
        <v>0.2140605122635685</v>
      </c>
      <c r="E47" s="11">
        <v>0.1088167609412906</v>
      </c>
      <c r="F47" s="13">
        <v>0.1685361241454046</v>
      </c>
      <c r="G47" s="13">
        <v>1.967164896399181</v>
      </c>
      <c r="H47" s="14">
        <v>1205.55</v>
      </c>
      <c r="I47" s="14">
        <v>1848.36</v>
      </c>
      <c r="J47" s="11">
        <v>3.325384470100288</v>
      </c>
    </row>
    <row r="48" spans="1:10">
      <c r="A48" s="10">
        <v>2014</v>
      </c>
      <c r="B48" s="11">
        <v>-0.01807958850431694</v>
      </c>
      <c r="C48" s="11">
        <v>0.1078731001583322</v>
      </c>
      <c r="D48" s="11">
        <v>0.1428040309423317</v>
      </c>
      <c r="E48" s="11">
        <v>0.111843638184248</v>
      </c>
      <c r="F48" s="13">
        <v>-0.1582414550832487</v>
      </c>
      <c r="G48" s="13">
        <v>1.276818541141164</v>
      </c>
      <c r="H48" s="14">
        <v>1183.95</v>
      </c>
      <c r="I48" s="14">
        <v>2058.9</v>
      </c>
      <c r="J48" s="11">
        <v>3.307304881595971</v>
      </c>
    </row>
    <row r="49" spans="1:10">
      <c r="A49" s="10">
        <v>2015</v>
      </c>
      <c r="B49" s="11">
        <v>-0.109366445269084</v>
      </c>
      <c r="C49" s="11">
        <v>-0.007292541897383382</v>
      </c>
      <c r="D49" s="11">
        <v>0.1362283265217182</v>
      </c>
      <c r="E49" s="11">
        <v>0.1523840806758382</v>
      </c>
      <c r="F49" s="13">
        <v>-0.04880149483463479</v>
      </c>
      <c r="G49" s="13">
        <v>0.8939800398934876</v>
      </c>
      <c r="H49" s="14">
        <v>1061.295</v>
      </c>
      <c r="I49" s="14">
        <v>2043.94</v>
      </c>
      <c r="J49" s="11">
        <v>3.197938436326887</v>
      </c>
    </row>
    <row r="50" spans="1:10">
      <c r="A50" s="10">
        <v>2016</v>
      </c>
      <c r="B50" s="11">
        <v>0.0818751440388113</v>
      </c>
      <c r="C50" s="11">
        <v>0.09107409027784469</v>
      </c>
      <c r="D50" s="11">
        <v>0.1560511518809965</v>
      </c>
      <c r="E50" s="11">
        <v>0.1288358753664781</v>
      </c>
      <c r="F50" s="13">
        <v>-0.3392935823465991</v>
      </c>
      <c r="G50" s="13">
        <v>1.211239892903306</v>
      </c>
      <c r="H50" s="14">
        <v>1151.845</v>
      </c>
      <c r="I50" s="14">
        <v>2238.83</v>
      </c>
      <c r="J50" s="11">
        <v>3.279813580365698</v>
      </c>
    </row>
    <row r="51" spans="1:10">
      <c r="A51" s="10">
        <v>2017</v>
      </c>
      <c r="B51" s="11">
        <v>0.1229588770144127</v>
      </c>
      <c r="C51" s="11">
        <v>0.1774762111462598</v>
      </c>
      <c r="D51" s="11">
        <v>0.09899417449346425</v>
      </c>
      <c r="E51" s="11">
        <v>0.06573344136421218</v>
      </c>
      <c r="F51" s="13">
        <v>-0.2291223844716022</v>
      </c>
      <c r="G51" s="13">
        <v>1.505994094314382</v>
      </c>
      <c r="H51" s="14">
        <v>1302.55</v>
      </c>
      <c r="I51" s="14">
        <v>2673.61</v>
      </c>
      <c r="J51" s="11">
        <v>3.402772457380111</v>
      </c>
    </row>
    <row r="52" spans="1:10">
      <c r="A52" s="10">
        <v>2018</v>
      </c>
      <c r="B52" s="11">
        <v>-0.01526310201428289</v>
      </c>
      <c r="C52" s="11">
        <v>-0.06440263421024578</v>
      </c>
      <c r="D52" s="11">
        <v>0.09737172456559669</v>
      </c>
      <c r="E52" s="11">
        <v>0.1676697659339109</v>
      </c>
      <c r="F52" s="13">
        <v>-0.050300400373465</v>
      </c>
      <c r="G52" s="13">
        <v>0.5807351374485544</v>
      </c>
      <c r="H52" s="14">
        <v>1282.82</v>
      </c>
      <c r="I52" s="14">
        <v>2506.85</v>
      </c>
      <c r="J52" s="11">
        <v>3.387509355365828</v>
      </c>
    </row>
    <row r="53" spans="1:10">
      <c r="A53" s="10">
        <v>2019</v>
      </c>
      <c r="B53" s="11">
        <v>0.1679342691961107</v>
      </c>
      <c r="C53" s="11">
        <v>0.2536966092325736</v>
      </c>
      <c r="D53" s="11">
        <v>0.1124977410057542</v>
      </c>
      <c r="E53" s="11">
        <v>0.1226715402256001</v>
      </c>
      <c r="F53" s="13">
        <v>-0.2822232506563812</v>
      </c>
      <c r="G53" s="13">
        <v>0.9170647144306197</v>
      </c>
      <c r="H53" s="14">
        <v>1517.395</v>
      </c>
      <c r="I53" s="14">
        <v>3230.78</v>
      </c>
      <c r="J53" s="11">
        <v>3.555443624561939</v>
      </c>
    </row>
    <row r="54" spans="1:10">
      <c r="A54" s="10">
        <v>2020</v>
      </c>
      <c r="B54" s="11">
        <v>0.2234246515182655</v>
      </c>
      <c r="C54" s="11">
        <v>0.1506496038704534</v>
      </c>
      <c r="D54" s="11">
        <v>0.1894102519310324</v>
      </c>
      <c r="E54" s="11">
        <v>0.3408458088469745</v>
      </c>
      <c r="F54" s="13">
        <v>0.1383604509662362</v>
      </c>
      <c r="G54" s="13">
        <v>0.5557065600183738</v>
      </c>
      <c r="H54" s="14">
        <v>1897.277</v>
      </c>
      <c r="I54" s="14">
        <v>3756.07</v>
      </c>
      <c r="J54" s="11">
        <v>3.778868276080205</v>
      </c>
    </row>
    <row r="55" spans="1:10">
      <c r="A55" s="10">
        <v>2021</v>
      </c>
      <c r="B55" s="11">
        <v>-0.03677226289822444</v>
      </c>
      <c r="C55" s="11">
        <v>0.2381719474632457</v>
      </c>
      <c r="D55" s="11">
        <v>0.1331881304494163</v>
      </c>
      <c r="E55" s="11">
        <v>0.128793839399866</v>
      </c>
      <c r="F55" s="13">
        <v>0.1316553645667959</v>
      </c>
      <c r="G55" s="13">
        <v>1.034118798461372</v>
      </c>
      <c r="H55" s="14">
        <v>1828.777</v>
      </c>
      <c r="I55" s="14">
        <v>4766.18</v>
      </c>
      <c r="J55" s="11">
        <v>3.74209601318198</v>
      </c>
    </row>
    <row r="56" spans="1:10">
      <c r="A56" s="10">
        <v>2022</v>
      </c>
      <c r="B56" s="11">
        <v>-0.002231847466038994</v>
      </c>
      <c r="C56" s="11">
        <v>-0.2162029956948462</v>
      </c>
      <c r="D56" s="11">
        <v>0.1490854130796051</v>
      </c>
      <c r="E56" s="11">
        <v>0.2376848436642185</v>
      </c>
      <c r="F56" s="13">
        <v>0.1841393659968647</v>
      </c>
      <c r="G56" s="13">
        <v>0.627239881101635</v>
      </c>
      <c r="H56" s="14">
        <v>1824.7</v>
      </c>
      <c r="I56" s="14">
        <v>3839.5</v>
      </c>
      <c r="J56" s="11">
        <v>3.739864165715941</v>
      </c>
    </row>
    <row r="57" spans="1:10">
      <c r="A57" s="10">
        <v>2023</v>
      </c>
      <c r="B57" s="11">
        <v>0.122646269341518</v>
      </c>
      <c r="C57" s="11">
        <v>0.2169685150636922</v>
      </c>
      <c r="D57" s="11">
        <v>0.1328207439430913</v>
      </c>
      <c r="E57" s="11">
        <v>0.1283021967427266</v>
      </c>
      <c r="F57" s="13">
        <v>-0.0271494321982413</v>
      </c>
      <c r="G57" s="13">
        <v>1.035218003394169</v>
      </c>
      <c r="H57" s="14">
        <v>2062.795</v>
      </c>
      <c r="I57" s="14">
        <v>4769.83</v>
      </c>
      <c r="J57" s="11">
        <v>3.862510435057459</v>
      </c>
    </row>
    <row r="58" spans="1:10">
      <c r="A58" s="10">
        <v>2024</v>
      </c>
      <c r="B58" s="11">
        <v>0.2408780744260434</v>
      </c>
      <c r="C58" s="11">
        <v>0.2095232695268979</v>
      </c>
      <c r="D58" s="11">
        <v>0.1490398936936416</v>
      </c>
      <c r="E58" s="11">
        <v>0.1242388478409982</v>
      </c>
      <c r="F58" s="13">
        <v>0.2296006522926687</v>
      </c>
      <c r="G58" s="13">
        <v>1.199623920244205</v>
      </c>
      <c r="H58" s="14">
        <v>2624.63</v>
      </c>
      <c r="I58" s="14">
        <v>5881.63</v>
      </c>
      <c r="J58" s="11">
        <v>4.103388509483502</v>
      </c>
    </row>
    <row r="59" spans="1:10">
      <c r="A59" s="10">
        <v>2025</v>
      </c>
      <c r="B59" s="11">
        <v>0.4971791750429672</v>
      </c>
      <c r="C59" s="11">
        <v>0.1517575677126213</v>
      </c>
      <c r="D59" s="11">
        <v>0.1895214620443253</v>
      </c>
      <c r="E59" s="11">
        <v>0.1824925424024391</v>
      </c>
      <c r="F59" s="13">
        <v>0.007335570898067249</v>
      </c>
      <c r="G59" s="13">
        <v>1.038516202083402</v>
      </c>
      <c r="H59" s="14">
        <v>4315.094</v>
      </c>
      <c r="I59" s="14">
        <v>6845.5</v>
      </c>
      <c r="J59" s="11">
        <v>4.600567684526469</v>
      </c>
    </row>
    <row r="60" spans="1:10">
      <c r="A60" s="10">
        <v>2026</v>
      </c>
      <c r="B60" s="11">
        <v>0.1400109663466505</v>
      </c>
      <c r="C60" s="11">
        <v>0.005422420561027985</v>
      </c>
      <c r="D60" s="11">
        <v>0.464641214068048</v>
      </c>
      <c r="E60" s="11">
        <v>0.1004579637805797</v>
      </c>
      <c r="F60" s="13">
        <v>0.01307054617600782</v>
      </c>
      <c r="G60" s="13">
        <v>4.625230261315246</v>
      </c>
      <c r="H60" s="14">
        <v>4963.594</v>
      </c>
      <c r="I60" s="14">
        <v>6882.72</v>
      </c>
      <c r="J60" s="11">
        <v>4.74057865087312</v>
      </c>
    </row>
  </sheetData>
  <mergeCells count="1">
    <mergeCell ref="A1:J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Annual Statistics</vt:lpstr>
      <vt:lpstr>Correlation Analysis</vt:lpstr>
      <vt:lpstr>Volatility Comparison</vt:lpstr>
      <vt:lpstr>Regime Analysis</vt:lpstr>
      <vt:lpstr>Crisis Periods</vt:lpstr>
      <vt:lpstr>Conditional Analysis</vt:lpstr>
      <vt:lpstr>Rolling 5-Year Analysis</vt:lpstr>
      <vt:lpstr>Chart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2026-02-05T23:25:28Z</dcterms:created>
  <dcterms:modified xsi:type="dcterms:W3CDTF">2026-02-05T23:25:28Z</dcterms:modified>
</cp:coreProperties>
</file>